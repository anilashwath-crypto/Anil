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i val="1"/>
      <sz val="10"/>
    </font>
    <font>
      <name val="Arial"/>
      <color rgb="00008000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3C7A2E"/>
      </patternFill>
    </fill>
    <fill>
      <patternFill patternType="solid">
        <fgColor rgb="00EDEFE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7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4" fillId="0" borderId="0" pivotButton="0" quotePrefix="0" xfId="0"/>
    <xf numFmtId="0" fontId="8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  <col width="46" customWidth="1" min="4" max="4"/>
  </cols>
  <sheetData>
    <row r="1">
      <c r="A1" s="1" t="inlineStr">
        <is>
          <t>Smart Farm — DIY Bill of Materials</t>
        </is>
      </c>
    </row>
    <row r="2">
      <c r="A2" s="2" t="inlineStr">
        <is>
          <t>10-acre mixed farm, rural Karnataka — DIY electronics for the Smart Farm AI System blueprint</t>
        </is>
      </c>
    </row>
    <row r="4">
      <c r="A4" s="3" t="inlineStr">
        <is>
          <t>Subsystem</t>
        </is>
      </c>
      <c r="B4" s="3" t="inlineStr">
        <is>
          <t>Total (Rs.)</t>
        </is>
      </c>
      <c r="C4" s="3" t="inlineStr">
        <is>
          <t>Phase</t>
        </is>
      </c>
    </row>
    <row r="5">
      <c r="A5" s="4" t="inlineStr">
        <is>
          <t>A. Edge gateway &amp; connectivity</t>
        </is>
      </c>
      <c r="B5" s="5">
        <f>BOM!F11</f>
        <v/>
      </c>
      <c r="C5" s="4" t="inlineStr">
        <is>
          <t>1</t>
        </is>
      </c>
    </row>
    <row r="6">
      <c r="A6" s="4" t="inlineStr">
        <is>
          <t>B. Solar power — control layer</t>
        </is>
      </c>
      <c r="B6" s="5">
        <f>BOM!F18</f>
        <v/>
      </c>
      <c r="C6" s="4" t="inlineStr">
        <is>
          <t>1</t>
        </is>
      </c>
    </row>
    <row r="7">
      <c r="A7" s="4" t="inlineStr">
        <is>
          <t>C. Irrigation control &amp; water monitoring</t>
        </is>
      </c>
      <c r="B7" s="5">
        <f>BOM!F31</f>
        <v/>
      </c>
      <c r="C7" s="4" t="inlineStr">
        <is>
          <t>1</t>
        </is>
      </c>
    </row>
    <row r="8">
      <c r="A8" s="4" t="inlineStr">
        <is>
          <t>D. Soil monitoring — 6 zone nodes + 2 field stations</t>
        </is>
      </c>
      <c r="B8" s="5">
        <f>BOM!F42</f>
        <v/>
      </c>
      <c r="C8" s="4" t="inlineStr">
        <is>
          <t>1–2</t>
        </is>
      </c>
    </row>
    <row r="9">
      <c r="A9" s="4" t="inlineStr">
        <is>
          <t>E. Weather station</t>
        </is>
      </c>
      <c r="B9" s="5">
        <f>BOM!F53</f>
        <v/>
      </c>
      <c r="C9" s="4" t="inlineStr">
        <is>
          <t>2</t>
        </is>
      </c>
    </row>
    <row r="10">
      <c r="A10" s="4" t="inlineStr">
        <is>
          <t>F. Fertigation &amp; venturi diffuser</t>
        </is>
      </c>
      <c r="B10" s="5">
        <f>BOM!F63</f>
        <v/>
      </c>
      <c r="C10" s="4" t="inlineStr">
        <is>
          <t>2</t>
        </is>
      </c>
    </row>
    <row r="11">
      <c r="A11" s="4" t="inlineStr">
        <is>
          <t>G. Livestock shed</t>
        </is>
      </c>
      <c r="B11" s="5">
        <f>BOM!F71</f>
        <v/>
      </c>
      <c r="C11" s="4" t="inlineStr">
        <is>
          <t>2</t>
        </is>
      </c>
    </row>
    <row r="12">
      <c r="A12" s="4" t="inlineStr">
        <is>
          <t>H. Cameras &amp; security</t>
        </is>
      </c>
      <c r="B12" s="5">
        <f>BOM!F77</f>
        <v/>
      </c>
      <c r="C12" s="4" t="inlineStr">
        <is>
          <t>1–2</t>
        </is>
      </c>
    </row>
    <row r="13">
      <c r="A13" s="4" t="inlineStr">
        <is>
          <t>I. Pest &amp; weed monitoring</t>
        </is>
      </c>
      <c r="B13" s="5">
        <f>BOM!F85</f>
        <v/>
      </c>
      <c r="C13" s="4" t="inlineStr">
        <is>
          <t>2–3</t>
        </is>
      </c>
    </row>
    <row r="14">
      <c r="A14" s="4" t="inlineStr">
        <is>
          <t>J. Wiring, protection &amp; mounting</t>
        </is>
      </c>
      <c r="B14" s="5">
        <f>BOM!F93</f>
        <v/>
      </c>
      <c r="C14" s="4" t="inlineStr">
        <is>
          <t>all</t>
        </is>
      </c>
    </row>
    <row r="15">
      <c r="A15" s="6" t="inlineStr">
        <is>
          <t>Subtotal — all subsystems</t>
        </is>
      </c>
      <c r="B15" s="7">
        <f>SUM(B5:B14)</f>
        <v/>
      </c>
    </row>
    <row r="16">
      <c r="A16" s="4" t="inlineStr">
        <is>
          <t>Contingency 10% (shipping, damage, retries)</t>
        </is>
      </c>
      <c r="B16" s="8">
        <f>B15*0.1</f>
        <v/>
      </c>
    </row>
    <row r="17">
      <c r="A17" s="9" t="inlineStr">
        <is>
          <t>GRAND TOTAL (DIY electronics)</t>
        </is>
      </c>
      <c r="B17" s="10">
        <f>B15+B16</f>
        <v/>
      </c>
    </row>
    <row r="19">
      <c r="A19" s="6" t="inlineStr">
        <is>
          <t>Basic tools (one-time, if not owned)</t>
        </is>
      </c>
    </row>
    <row r="20">
      <c r="A20" s="4" t="inlineStr">
        <is>
          <t>Soldering iron + solder</t>
        </is>
      </c>
      <c r="B20" s="11" t="n">
        <v>800</v>
      </c>
    </row>
    <row r="21">
      <c r="A21" s="4" t="inlineStr">
        <is>
          <t>Crimping tool + lugs/ferrules</t>
        </is>
      </c>
      <c r="B21" s="11" t="n">
        <v>900</v>
      </c>
    </row>
    <row r="22">
      <c r="A22" s="4" t="inlineStr">
        <is>
          <t>Multimeter</t>
        </is>
      </c>
      <c r="B22" s="11" t="n">
        <v>700</v>
      </c>
    </row>
    <row r="23">
      <c r="A23" s="4" t="inlineStr">
        <is>
          <t>Wire stripper</t>
        </is>
      </c>
      <c r="B23" s="11" t="n">
        <v>300</v>
      </c>
    </row>
    <row r="24">
      <c r="A24" s="4" t="inlineStr">
        <is>
          <t>Cordless drill + bits</t>
        </is>
      </c>
      <c r="B24" s="11" t="n">
        <v>2500</v>
      </c>
    </row>
    <row r="25">
      <c r="A25" s="4" t="inlineStr">
        <is>
          <t>PTFE tape, spanners for plumbing</t>
        </is>
      </c>
      <c r="B25" s="11" t="n">
        <v>500</v>
      </c>
    </row>
    <row r="26">
      <c r="A26" s="6" t="inlineStr">
        <is>
          <t>Tools subtotal</t>
        </is>
      </c>
      <c r="B26" s="7">
        <f>SUM(B20:B25)</f>
        <v/>
      </c>
    </row>
    <row r="28">
      <c r="A28" s="12" t="inlineStr">
        <is>
          <t>HOW TO USE: edit blue cells (Qty / Unit price) on the BOM sheet — all totals recalculate.</t>
        </is>
      </c>
    </row>
    <row r="29">
      <c r="A29" s="12" t="inlineStr">
        <is>
          <t>Prices are indicative Jul 2026 retail (robu.in, amazon.in, local electrical market), GST included; get quotes before ordering.</t>
        </is>
      </c>
    </row>
    <row r="30">
      <c r="A30" s="12" t="inlineStr">
        <is>
          <t>Excluded and bought instead (see BOM sheet foot): cattle collars, drip system (PMKSY vendor), drone service, milk analyzer.</t>
        </is>
      </c>
    </row>
    <row r="31">
      <c r="A31" s="12" t="inlineStr">
        <is>
          <t>Free software stack: ESPHome (nodes), Home Assistant + Node-RED (dashboard/logic), Frigate (cameras), all on the Pi.</t>
        </is>
      </c>
    </row>
    <row r="32">
      <c r="A32" s="12" t="inlineStr">
        <is>
          <t>Compare: vendor-installed Phase 1+2 automation in the blueprint is ~Rs.9.6 lakh gross; this DIY electronics build covers the monitoring/control layer at a fraction, but with your labour and no AMC.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6" customWidth="1" min="4" max="4"/>
    <col width="11" customWidth="1" min="5" max="5"/>
    <col width="12" customWidth="1" min="6" max="6"/>
    <col width="7" customWidth="1" min="7" max="7"/>
    <col width="46" customWidth="1" min="8" max="8"/>
  </cols>
  <sheetData>
    <row r="1">
      <c r="A1" s="3" t="inlineStr">
        <is>
          <t>Section</t>
        </is>
      </c>
      <c r="B1" s="3" t="inlineStr">
        <is>
          <t>Item</t>
        </is>
      </c>
      <c r="C1" s="3" t="inlineStr">
        <is>
          <t>Spec / example part</t>
        </is>
      </c>
      <c r="D1" s="3" t="inlineStr">
        <is>
          <t>Qty</t>
        </is>
      </c>
      <c r="E1" s="3" t="inlineStr">
        <is>
          <t>Unit (Rs.)</t>
        </is>
      </c>
      <c r="F1" s="3" t="inlineStr">
        <is>
          <t>Total (Rs.)</t>
        </is>
      </c>
      <c r="G1" s="3" t="inlineStr">
        <is>
          <t>Phase</t>
        </is>
      </c>
      <c r="H1" s="3" t="inlineStr">
        <is>
          <t>Notes</t>
        </is>
      </c>
    </row>
    <row r="2">
      <c r="A2" s="13" t="inlineStr">
        <is>
          <t>A. Edge gateway &amp; connectivity</t>
        </is>
      </c>
      <c r="B2" s="14" t="inlineStr">
        <is>
          <t>Raspberry Pi 4B 4GB</t>
        </is>
      </c>
      <c r="C2" s="14" t="inlineStr">
        <is>
          <t>Farm brain — Home Assistant + Node-RED + Frigate</t>
        </is>
      </c>
      <c r="D2" s="15" t="n">
        <v>1</v>
      </c>
      <c r="E2" s="16" t="n">
        <v>5500</v>
      </c>
      <c r="F2" s="17">
        <f>D2*E2</f>
        <v/>
      </c>
      <c r="G2" s="14" t="inlineStr">
        <is>
          <t>1</t>
        </is>
      </c>
      <c r="H2" s="18" t="inlineStr">
        <is>
          <t>Pi 5 4GB also fine (~Rs.6,500)</t>
        </is>
      </c>
    </row>
    <row r="3">
      <c r="A3" s="14" t="inlineStr"/>
      <c r="B3" s="14" t="inlineStr">
        <is>
          <t>microSD 64GB (high-endurance)</t>
        </is>
      </c>
      <c r="C3" s="14" t="inlineStr">
        <is>
          <t>SanDisk High Endurance class</t>
        </is>
      </c>
      <c r="D3" s="15" t="n">
        <v>1</v>
      </c>
      <c r="E3" s="16" t="n">
        <v>700</v>
      </c>
      <c r="F3" s="17">
        <f>D3*E3</f>
        <v/>
      </c>
      <c r="G3" s="14" t="inlineStr">
        <is>
          <t>1</t>
        </is>
      </c>
      <c r="H3" s="18" t="inlineStr">
        <is>
          <t>NVR/logging wears cheap cards out</t>
        </is>
      </c>
    </row>
    <row r="4">
      <c r="A4" s="14" t="inlineStr"/>
      <c r="B4" s="14" t="inlineStr">
        <is>
          <t>LoRa module SX1278 Ra-02 433 MHz</t>
        </is>
      </c>
      <c r="C4" s="14" t="inlineStr">
        <is>
          <t>Gateway radio</t>
        </is>
      </c>
      <c r="D4" s="15" t="n">
        <v>1</v>
      </c>
      <c r="E4" s="16" t="n">
        <v>350</v>
      </c>
      <c r="F4" s="17">
        <f>D4*E4</f>
        <v/>
      </c>
      <c r="G4" s="14" t="inlineStr">
        <is>
          <t>1</t>
        </is>
      </c>
      <c r="H4" s="18" t="inlineStr">
        <is>
          <t>Single-channel is enough for ~10 nodes</t>
        </is>
      </c>
    </row>
    <row r="5">
      <c r="A5" s="14" t="inlineStr"/>
      <c r="B5" s="14" t="inlineStr">
        <is>
          <t>ESP32 DevKit V1</t>
        </is>
      </c>
      <c r="C5" s="14" t="inlineStr">
        <is>
          <t>LoRa-to-Pi serial bridge</t>
        </is>
      </c>
      <c r="D5" s="15" t="n">
        <v>1</v>
      </c>
      <c r="E5" s="16" t="n">
        <v>450</v>
      </c>
      <c r="F5" s="17">
        <f>D5*E5</f>
        <v/>
      </c>
      <c r="G5" s="14" t="inlineStr">
        <is>
          <t>1</t>
        </is>
      </c>
      <c r="H5" s="18" t="inlineStr"/>
    </row>
    <row r="6">
      <c r="A6" s="14" t="inlineStr"/>
      <c r="B6" s="14" t="inlineStr">
        <is>
          <t>4G router, dual-SIM, ext. antenna port</t>
        </is>
      </c>
      <c r="C6" s="14" t="inlineStr">
        <is>
          <t>Tenda 4G03 Pro / TP-Link MR110 class</t>
        </is>
      </c>
      <c r="D6" s="15" t="n">
        <v>1</v>
      </c>
      <c r="E6" s="16" t="n">
        <v>6500</v>
      </c>
      <c r="F6" s="17">
        <f>D6*E6</f>
        <v/>
      </c>
      <c r="G6" s="14" t="inlineStr">
        <is>
          <t>1</t>
        </is>
      </c>
      <c r="H6" s="18" t="inlineStr">
        <is>
          <t>Jio + Airtel SIMs per blueprint</t>
        </is>
      </c>
    </row>
    <row r="7">
      <c r="A7" s="14" t="inlineStr"/>
      <c r="B7" s="14" t="inlineStr">
        <is>
          <t>Outdoor high-gain 4G antenna + SMA lead</t>
        </is>
      </c>
      <c r="C7" s="14" t="inlineStr">
        <is>
          <t>10–12 dBi panel/yagi</t>
        </is>
      </c>
      <c r="D7" s="15" t="n">
        <v>1</v>
      </c>
      <c r="E7" s="16" t="n">
        <v>1200</v>
      </c>
      <c r="F7" s="17">
        <f>D7*E7</f>
        <v/>
      </c>
      <c r="G7" s="14" t="inlineStr">
        <is>
          <t>1</t>
        </is>
      </c>
      <c r="H7" s="18" t="inlineStr">
        <is>
          <t>Mount high at pump house</t>
        </is>
      </c>
    </row>
    <row r="8">
      <c r="A8" s="14" t="inlineStr"/>
      <c r="B8" s="14" t="inlineStr">
        <is>
          <t>SIM800L GSM module + antenna</t>
        </is>
      </c>
      <c r="C8" s="14" t="inlineStr">
        <is>
          <t>SMS fallback commands/alarms</t>
        </is>
      </c>
      <c r="D8" s="15" t="n">
        <v>1</v>
      </c>
      <c r="E8" s="16" t="n">
        <v>350</v>
      </c>
      <c r="F8" s="17">
        <f>D8*E8</f>
        <v/>
      </c>
      <c r="G8" s="14" t="inlineStr">
        <is>
          <t>1</t>
        </is>
      </c>
      <c r="H8" s="18" t="inlineStr">
        <is>
          <t>Own SIM, Rs.20/mo SMS pack</t>
        </is>
      </c>
    </row>
    <row r="9">
      <c r="A9" s="14" t="inlineStr"/>
      <c r="B9" s="14" t="inlineStr">
        <is>
          <t>DS3231 RTC module</t>
        </is>
      </c>
      <c r="C9" s="14" t="inlineStr">
        <is>
          <t>Keeps schedules through reboots</t>
        </is>
      </c>
      <c r="D9" s="15" t="n">
        <v>1</v>
      </c>
      <c r="E9" s="16" t="n">
        <v>150</v>
      </c>
      <c r="F9" s="17">
        <f>D9*E9</f>
        <v/>
      </c>
      <c r="G9" s="14" t="inlineStr">
        <is>
          <t>1</t>
        </is>
      </c>
      <c r="H9" s="18" t="inlineStr"/>
    </row>
    <row r="10">
      <c r="A10" s="14" t="inlineStr"/>
      <c r="B10" s="14" t="inlineStr">
        <is>
          <t>IP65 enclosure + DIN rail + glands</t>
        </is>
      </c>
      <c r="C10" s="14" t="inlineStr">
        <is>
          <t>300x200 ABS, gateway box</t>
        </is>
      </c>
      <c r="D10" s="15" t="n">
        <v>1</v>
      </c>
      <c r="E10" s="16" t="n">
        <v>1200</v>
      </c>
      <c r="F10" s="17">
        <f>D10*E10</f>
        <v/>
      </c>
      <c r="G10" s="14" t="inlineStr">
        <is>
          <t>1</t>
        </is>
      </c>
      <c r="H10" s="18" t="inlineStr"/>
    </row>
    <row r="11">
      <c r="A11" s="19" t="n"/>
      <c r="B11" s="20" t="inlineStr">
        <is>
          <t>Subtotal — A. Edge gateway &amp; connectivity</t>
        </is>
      </c>
      <c r="C11" s="19" t="n"/>
      <c r="D11" s="19" t="n"/>
      <c r="E11" s="19" t="n"/>
      <c r="F11" s="21">
        <f>SUM(F2:F10)</f>
        <v/>
      </c>
      <c r="G11" s="19" t="n"/>
      <c r="H11" s="19" t="n"/>
    </row>
    <row r="13">
      <c r="A13" s="13" t="inlineStr">
        <is>
          <t>B. Solar power — control layer</t>
        </is>
      </c>
      <c r="B13" s="14" t="inlineStr">
        <is>
          <t>Solar panel 200 W 12 V</t>
        </is>
      </c>
      <c r="C13" s="14" t="inlineStr">
        <is>
          <t>Poly/mono, control system only</t>
        </is>
      </c>
      <c r="D13" s="15" t="n">
        <v>1</v>
      </c>
      <c r="E13" s="16" t="n">
        <v>6000</v>
      </c>
      <c r="F13" s="17">
        <f>D13*E13</f>
        <v/>
      </c>
      <c r="G13" s="14" t="inlineStr">
        <is>
          <t>1</t>
        </is>
      </c>
      <c r="H13" s="18" t="inlineStr">
        <is>
          <t>Pump stays on grid/diesel</t>
        </is>
      </c>
    </row>
    <row r="14">
      <c r="A14" s="14" t="inlineStr"/>
      <c r="B14" s="14" t="inlineStr">
        <is>
          <t>LiFePO4 battery 12.8 V 50 Ah</t>
        </is>
      </c>
      <c r="C14" s="14" t="inlineStr">
        <is>
          <t>3+ days autonomy for controls</t>
        </is>
      </c>
      <c r="D14" s="15" t="n">
        <v>1</v>
      </c>
      <c r="E14" s="16" t="n">
        <v>11000</v>
      </c>
      <c r="F14" s="17">
        <f>D14*E14</f>
        <v/>
      </c>
      <c r="G14" s="14" t="inlineStr">
        <is>
          <t>1</t>
        </is>
      </c>
      <c r="H14" s="18" t="inlineStr">
        <is>
          <t>Lead-acid 100 Ah alt: Rs.9,500, 1/3 the life</t>
        </is>
      </c>
    </row>
    <row r="15">
      <c r="A15" s="14" t="inlineStr"/>
      <c r="B15" s="14" t="inlineStr">
        <is>
          <t>MPPT charge controller 20 A</t>
        </is>
      </c>
      <c r="C15" s="14" t="inlineStr">
        <is>
          <t>12/24 V auto</t>
        </is>
      </c>
      <c r="D15" s="15" t="n">
        <v>1</v>
      </c>
      <c r="E15" s="16" t="n">
        <v>2500</v>
      </c>
      <c r="F15" s="17">
        <f>D15*E15</f>
        <v/>
      </c>
      <c r="G15" s="14" t="inlineStr">
        <is>
          <t>1</t>
        </is>
      </c>
      <c r="H15" s="18" t="inlineStr"/>
    </row>
    <row r="16">
      <c r="A16" s="14" t="inlineStr"/>
      <c r="B16" s="14" t="inlineStr">
        <is>
          <t>DC-DC buck 12-&gt;5 V 3 A</t>
        </is>
      </c>
      <c r="C16" s="14" t="inlineStr">
        <is>
          <t>Per node / Pi supply</t>
        </is>
      </c>
      <c r="D16" s="15" t="n">
        <v>4</v>
      </c>
      <c r="E16" s="16" t="n">
        <v>200</v>
      </c>
      <c r="F16" s="17">
        <f>D16*E16</f>
        <v/>
      </c>
      <c r="G16" s="14" t="inlineStr">
        <is>
          <t>1</t>
        </is>
      </c>
      <c r="H16" s="18" t="inlineStr"/>
    </row>
    <row r="17">
      <c r="A17" s="14" t="inlineStr"/>
      <c r="B17" s="14" t="inlineStr">
        <is>
          <t>Fuses, MC4 pairs, 6 mm2 solar cable set</t>
        </is>
      </c>
      <c r="C17" s="14" t="inlineStr"/>
      <c r="D17" s="15" t="n">
        <v>1</v>
      </c>
      <c r="E17" s="16" t="n">
        <v>1500</v>
      </c>
      <c r="F17" s="17">
        <f>D17*E17</f>
        <v/>
      </c>
      <c r="G17" s="14" t="inlineStr">
        <is>
          <t>1</t>
        </is>
      </c>
      <c r="H17" s="18" t="inlineStr"/>
    </row>
    <row r="18">
      <c r="A18" s="19" t="n"/>
      <c r="B18" s="20" t="inlineStr">
        <is>
          <t>Subtotal — B. Solar power — control layer</t>
        </is>
      </c>
      <c r="C18" s="19" t="n"/>
      <c r="D18" s="19" t="n"/>
      <c r="E18" s="19" t="n"/>
      <c r="F18" s="21">
        <f>SUM(F13:F17)</f>
        <v/>
      </c>
      <c r="G18" s="19" t="n"/>
      <c r="H18" s="19" t="n"/>
    </row>
    <row r="20">
      <c r="A20" s="13" t="inlineStr">
        <is>
          <t>C. Irrigation control &amp; water monitoring</t>
        </is>
      </c>
      <c r="B20" s="14" t="inlineStr">
        <is>
          <t>Solenoid valve 1" 12 V DC, normally-closed</t>
        </is>
      </c>
      <c r="C20" s="14" t="inlineStr">
        <is>
          <t>Plastic body, drip-rated</t>
        </is>
      </c>
      <c r="D20" s="15" t="n">
        <v>6</v>
      </c>
      <c r="E20" s="16" t="n">
        <v>1400</v>
      </c>
      <c r="F20" s="17">
        <f>D20*E20</f>
        <v/>
      </c>
      <c r="G20" s="14" t="inlineStr">
        <is>
          <t>1</t>
        </is>
      </c>
      <c r="H20" s="18" t="inlineStr">
        <is>
          <t>One per zone; NC = fails shut</t>
        </is>
      </c>
    </row>
    <row r="21">
      <c r="A21" s="14" t="inlineStr"/>
      <c r="B21" s="14" t="inlineStr">
        <is>
          <t>Valve-controller node (ESP32 + 4-ch relay + box)</t>
        </is>
      </c>
      <c r="C21" s="14" t="inlineStr">
        <is>
          <t>Each drives 3 valves</t>
        </is>
      </c>
      <c r="D21" s="15" t="n">
        <v>2</v>
      </c>
      <c r="E21" s="16" t="n">
        <v>1600</v>
      </c>
      <c r="F21" s="17">
        <f>D21*E21</f>
        <v/>
      </c>
      <c r="G21" s="14" t="inlineStr">
        <is>
          <t>1</t>
        </is>
      </c>
      <c r="H21" s="18" t="inlineStr"/>
    </row>
    <row r="22">
      <c r="A22" s="14" t="inlineStr"/>
      <c r="B22" s="14" t="inlineStr">
        <is>
          <t>Flow meter YF-B10 1" brass, pulse</t>
        </is>
      </c>
      <c r="C22" s="14" t="inlineStr">
        <is>
          <t>Main line + fertigation line</t>
        </is>
      </c>
      <c r="D22" s="15" t="n">
        <v>2</v>
      </c>
      <c r="E22" s="16" t="n">
        <v>1000</v>
      </c>
      <c r="F22" s="17">
        <f>D22*E22</f>
        <v/>
      </c>
      <c r="G22" s="14" t="inlineStr">
        <is>
          <t>1</t>
        </is>
      </c>
      <c r="H22" s="18" t="inlineStr"/>
    </row>
    <row r="23">
      <c r="A23" s="14" t="inlineStr"/>
      <c r="B23" s="14" t="inlineStr">
        <is>
          <t>Pressure transducer 0–10 bar 1/4"</t>
        </is>
      </c>
      <c r="C23" s="14" t="inlineStr">
        <is>
          <t>Leak / burst / clog detection</t>
        </is>
      </c>
      <c r="D23" s="15" t="n">
        <v>2</v>
      </c>
      <c r="E23" s="16" t="n">
        <v>1400</v>
      </c>
      <c r="F23" s="17">
        <f>D23*E23</f>
        <v/>
      </c>
      <c r="G23" s="14" t="inlineStr">
        <is>
          <t>1</t>
        </is>
      </c>
      <c r="H23" s="18" t="inlineStr"/>
    </row>
    <row r="24">
      <c r="A24" s="14" t="inlineStr"/>
      <c r="B24" s="14" t="inlineStr">
        <is>
          <t>Borewell level sensor 0–50 m, 4–20 mA</t>
        </is>
      </c>
      <c r="C24" s="14" t="inlineStr">
        <is>
          <t>Submersible hydrostatic</t>
        </is>
      </c>
      <c r="D24" s="15" t="n">
        <v>1</v>
      </c>
      <c r="E24" s="16" t="n">
        <v>4500</v>
      </c>
      <c r="F24" s="17">
        <f>D24*E24</f>
        <v/>
      </c>
      <c r="G24" s="14" t="inlineStr">
        <is>
          <t>1</t>
        </is>
      </c>
      <c r="H24" s="18" t="inlineStr">
        <is>
          <t>Blueprint 4.1: watch falling yield</t>
        </is>
      </c>
    </row>
    <row r="25">
      <c r="A25" s="14" t="inlineStr"/>
      <c r="B25" s="14" t="inlineStr">
        <is>
          <t>4–20 mA receiver board</t>
        </is>
      </c>
      <c r="C25" s="14" t="inlineStr">
        <is>
          <t>For borewell sensor</t>
        </is>
      </c>
      <c r="D25" s="15" t="n">
        <v>1</v>
      </c>
      <c r="E25" s="16" t="n">
        <v>400</v>
      </c>
      <c r="F25" s="17">
        <f>D25*E25</f>
        <v/>
      </c>
      <c r="G25" s="14" t="inlineStr">
        <is>
          <t>1</t>
        </is>
      </c>
      <c r="H25" s="18" t="inlineStr"/>
    </row>
    <row r="26">
      <c r="A26" s="14" t="inlineStr"/>
      <c r="B26" s="14" t="inlineStr">
        <is>
          <t>Ultrasonic level sensor JSN-SR04T</t>
        </is>
      </c>
      <c r="C26" s="14" t="inlineStr">
        <is>
          <t>Overhead tank %</t>
        </is>
      </c>
      <c r="D26" s="15" t="n">
        <v>1</v>
      </c>
      <c r="E26" s="16" t="n">
        <v>450</v>
      </c>
      <c r="F26" s="17">
        <f>D26*E26</f>
        <v/>
      </c>
      <c r="G26" s="14" t="inlineStr">
        <is>
          <t>1</t>
        </is>
      </c>
      <c r="H26" s="18" t="inlineStr">
        <is>
          <t>Waterproof probe</t>
        </is>
      </c>
    </row>
    <row r="27">
      <c r="A27" s="14" t="inlineStr"/>
      <c r="B27" s="14" t="inlineStr">
        <is>
          <t>Phase-failure relay</t>
        </is>
      </c>
      <c r="C27" s="14" t="inlineStr">
        <is>
          <t>Single-phasing protection</t>
        </is>
      </c>
      <c r="D27" s="15" t="n">
        <v>1</v>
      </c>
      <c r="E27" s="16" t="n">
        <v>1200</v>
      </c>
      <c r="F27" s="17">
        <f>D27*E27</f>
        <v/>
      </c>
      <c r="G27" s="14" t="inlineStr">
        <is>
          <t>1</t>
        </is>
      </c>
      <c r="H27" s="18" t="inlineStr">
        <is>
          <t>Pairs with existing starter</t>
        </is>
      </c>
    </row>
    <row r="28">
      <c r="A28" s="14" t="inlineStr"/>
      <c r="B28" s="14" t="inlineStr">
        <is>
          <t>PZEM-004T 100 A + CT</t>
        </is>
      </c>
      <c r="C28" s="14" t="inlineStr">
        <is>
          <t>Pump energy metering (kWh)</t>
        </is>
      </c>
      <c r="D28" s="15" t="n">
        <v>1</v>
      </c>
      <c r="E28" s="16" t="n">
        <v>900</v>
      </c>
      <c r="F28" s="17">
        <f>D28*E28</f>
        <v/>
      </c>
      <c r="G28" s="14" t="inlineStr">
        <is>
          <t>1</t>
        </is>
      </c>
      <c r="H28" s="18" t="inlineStr"/>
    </row>
    <row r="29">
      <c r="A29" s="14" t="inlineStr"/>
      <c r="B29" s="14" t="inlineStr">
        <is>
          <t>Pump-house node (ESP32 + SIM800 + box)</t>
        </is>
      </c>
      <c r="C29" s="14" t="inlineStr">
        <is>
          <t>GSM start/stop + dry-run logic</t>
        </is>
      </c>
      <c r="D29" s="15" t="n">
        <v>1</v>
      </c>
      <c r="E29" s="16" t="n">
        <v>1500</v>
      </c>
      <c r="F29" s="17">
        <f>D29*E29</f>
        <v/>
      </c>
      <c r="G29" s="14" t="inlineStr">
        <is>
          <t>1</t>
        </is>
      </c>
      <c r="H29" s="18" t="inlineStr">
        <is>
          <t>DIY 'Kisan Raja'</t>
        </is>
      </c>
    </row>
    <row r="30">
      <c r="A30" s="14" t="inlineStr"/>
      <c r="B30" s="14" t="inlineStr">
        <is>
          <t>30 A relay/contactor driver module</t>
        </is>
      </c>
      <c r="C30" s="14" t="inlineStr">
        <is>
          <t>Drives pump contactor coil</t>
        </is>
      </c>
      <c r="D30" s="15" t="n">
        <v>1</v>
      </c>
      <c r="E30" s="16" t="n">
        <v>600</v>
      </c>
      <c r="F30" s="17">
        <f>D30*E30</f>
        <v/>
      </c>
      <c r="G30" s="14" t="inlineStr">
        <is>
          <t>1</t>
        </is>
      </c>
      <c r="H30" s="18" t="inlineStr"/>
    </row>
    <row r="31">
      <c r="A31" s="19" t="n"/>
      <c r="B31" s="20" t="inlineStr">
        <is>
          <t>Subtotal — C. Irrigation control &amp; water monitoring</t>
        </is>
      </c>
      <c r="C31" s="19" t="n"/>
      <c r="D31" s="19" t="n"/>
      <c r="E31" s="19" t="n"/>
      <c r="F31" s="21">
        <f>SUM(F20:F30)</f>
        <v/>
      </c>
      <c r="G31" s="19" t="n"/>
      <c r="H31" s="19" t="n"/>
    </row>
    <row r="33">
      <c r="A33" s="13" t="inlineStr">
        <is>
          <t>D. Soil monitoring — 6 zone nodes + 2 field stations</t>
        </is>
      </c>
      <c r="B33" s="14" t="inlineStr">
        <is>
          <t>Soil node kit (ESP32 + Ra-02 LoRa)</t>
        </is>
      </c>
      <c r="C33" s="14" t="inlineStr">
        <is>
          <t>One per zone</t>
        </is>
      </c>
      <c r="D33" s="15" t="n">
        <v>6</v>
      </c>
      <c r="E33" s="16" t="n">
        <v>750</v>
      </c>
      <c r="F33" s="17">
        <f>D33*E33</f>
        <v/>
      </c>
      <c r="G33" s="14" t="inlineStr">
        <is>
          <t>1–2</t>
        </is>
      </c>
      <c r="H33" s="18" t="inlineStr"/>
    </row>
    <row r="34">
      <c r="A34" s="14" t="inlineStr"/>
      <c r="B34" s="14" t="inlineStr">
        <is>
          <t>Capacitive soil moisture probe v2</t>
        </is>
      </c>
      <c r="C34" s="14" t="inlineStr">
        <is>
          <t>2 depths per zone; seal with epoxy</t>
        </is>
      </c>
      <c r="D34" s="15" t="n">
        <v>12</v>
      </c>
      <c r="E34" s="16" t="n">
        <v>120</v>
      </c>
      <c r="F34" s="17">
        <f>D34*E34</f>
        <v/>
      </c>
      <c r="G34" s="14" t="inlineStr">
        <is>
          <t>1–2</t>
        </is>
      </c>
      <c r="H34" s="18" t="inlineStr">
        <is>
          <t>Never use resistive probes — they corrode</t>
        </is>
      </c>
    </row>
    <row r="35">
      <c r="A35" s="14" t="inlineStr"/>
      <c r="B35" s="14" t="inlineStr">
        <is>
          <t>DS18B20 waterproof soil temperature</t>
        </is>
      </c>
      <c r="C35" s="14" t="inlineStr">
        <is>
          <t>One per zone</t>
        </is>
      </c>
      <c r="D35" s="15" t="n">
        <v>6</v>
      </c>
      <c r="E35" s="16" t="n">
        <v>150</v>
      </c>
      <c r="F35" s="17">
        <f>D35*E35</f>
        <v/>
      </c>
      <c r="G35" s="14" t="inlineStr">
        <is>
          <t>1–2</t>
        </is>
      </c>
      <c r="H35" s="18" t="inlineStr"/>
    </row>
    <row r="36">
      <c r="A36" s="14" t="inlineStr"/>
      <c r="B36" s="14" t="inlineStr">
        <is>
          <t>2x 18650 + TP4056 + holder</t>
        </is>
      </c>
      <c r="C36" s="14" t="inlineStr">
        <is>
          <t>Per node battery pack</t>
        </is>
      </c>
      <c r="D36" s="15" t="n">
        <v>6</v>
      </c>
      <c r="E36" s="16" t="n">
        <v>350</v>
      </c>
      <c r="F36" s="17">
        <f>D36*E36</f>
        <v/>
      </c>
      <c r="G36" s="14" t="inlineStr">
        <is>
          <t>1–2</t>
        </is>
      </c>
      <c r="H36" s="18" t="inlineStr"/>
    </row>
    <row r="37">
      <c r="A37" s="14" t="inlineStr"/>
      <c r="B37" s="14" t="inlineStr">
        <is>
          <t>6 V 2 W solar top-up panel</t>
        </is>
      </c>
      <c r="C37" s="14" t="inlineStr">
        <is>
          <t>Per node</t>
        </is>
      </c>
      <c r="D37" s="15" t="n">
        <v>6</v>
      </c>
      <c r="E37" s="16" t="n">
        <v>250</v>
      </c>
      <c r="F37" s="17">
        <f>D37*E37</f>
        <v/>
      </c>
      <c r="G37" s="14" t="inlineStr">
        <is>
          <t>1–2</t>
        </is>
      </c>
      <c r="H37" s="18" t="inlineStr"/>
    </row>
    <row r="38">
      <c r="A38" s="14" t="inlineStr"/>
      <c r="B38" s="14" t="inlineStr">
        <is>
          <t>IP65 node enclosure + mounting pole</t>
        </is>
      </c>
      <c r="C38" s="14" t="inlineStr"/>
      <c r="D38" s="15" t="n">
        <v>6</v>
      </c>
      <c r="E38" s="16" t="n">
        <v>500</v>
      </c>
      <c r="F38" s="17">
        <f>D38*E38</f>
        <v/>
      </c>
      <c r="G38" s="14" t="inlineStr">
        <is>
          <t>1–2</t>
        </is>
      </c>
      <c r="H38" s="18" t="inlineStr"/>
    </row>
    <row r="39">
      <c r="A39" s="14" t="inlineStr"/>
      <c r="B39" s="14" t="inlineStr">
        <is>
          <t>pH kit: E-201 probe + driver board</t>
        </is>
      </c>
      <c r="C39" s="14" t="inlineStr">
        <is>
          <t>Field stations A &amp; B</t>
        </is>
      </c>
      <c r="D39" s="15" t="n">
        <v>2</v>
      </c>
      <c r="E39" s="16" t="n">
        <v>1800</v>
      </c>
      <c r="F39" s="17">
        <f>D39*E39</f>
        <v/>
      </c>
      <c r="G39" s="14" t="inlineStr">
        <is>
          <t>1–2</t>
        </is>
      </c>
      <c r="H39" s="18" t="inlineStr">
        <is>
          <t>Recalibrate monthly (pH 4/7 buffers)</t>
        </is>
      </c>
    </row>
    <row r="40">
      <c r="A40" s="14" t="inlineStr"/>
      <c r="B40" s="14" t="inlineStr">
        <is>
          <t>Analog EC kit, K=1 probe</t>
        </is>
      </c>
      <c r="C40" s="14" t="inlineStr">
        <is>
          <t>Field stations A &amp; B + dose feedback</t>
        </is>
      </c>
      <c r="D40" s="15" t="n">
        <v>2</v>
      </c>
      <c r="E40" s="16" t="n">
        <v>2000</v>
      </c>
      <c r="F40" s="17">
        <f>D40*E40</f>
        <v/>
      </c>
      <c r="G40" s="14" t="inlineStr">
        <is>
          <t>1–2</t>
        </is>
      </c>
      <c r="H40" s="18" t="inlineStr">
        <is>
          <t>DFRobot-class; generic TDS boards drift</t>
        </is>
      </c>
    </row>
    <row r="41">
      <c r="A41" s="14" t="inlineStr"/>
      <c r="B41" s="14" t="inlineStr">
        <is>
          <t>ADS1115 16-bit ADC</t>
        </is>
      </c>
      <c r="C41" s="14" t="inlineStr">
        <is>
          <t>Clean analog reads for pH/EC</t>
        </is>
      </c>
      <c r="D41" s="15" t="n">
        <v>2</v>
      </c>
      <c r="E41" s="16" t="n">
        <v>250</v>
      </c>
      <c r="F41" s="17">
        <f>D41*E41</f>
        <v/>
      </c>
      <c r="G41" s="14" t="inlineStr">
        <is>
          <t>1–2</t>
        </is>
      </c>
      <c r="H41" s="18" t="inlineStr"/>
    </row>
    <row r="42">
      <c r="A42" s="19" t="n"/>
      <c r="B42" s="20" t="inlineStr">
        <is>
          <t>Subtotal — D. Soil monitoring — 6 zone nodes + 2 field stations</t>
        </is>
      </c>
      <c r="C42" s="19" t="n"/>
      <c r="D42" s="19" t="n"/>
      <c r="E42" s="19" t="n"/>
      <c r="F42" s="21">
        <f>SUM(F33:F41)</f>
        <v/>
      </c>
      <c r="G42" s="19" t="n"/>
      <c r="H42" s="19" t="n"/>
    </row>
    <row r="44">
      <c r="A44" s="13" t="inlineStr">
        <is>
          <t>E. Weather station</t>
        </is>
      </c>
      <c r="B44" s="14" t="inlineStr">
        <is>
          <t>Cup anemometer, pulse output</t>
        </is>
      </c>
      <c r="C44" s="14" t="inlineStr">
        <is>
          <t>Wind speed (spray windows)</t>
        </is>
      </c>
      <c r="D44" s="15" t="n">
        <v>1</v>
      </c>
      <c r="E44" s="16" t="n">
        <v>2500</v>
      </c>
      <c r="F44" s="17">
        <f>D44*E44</f>
        <v/>
      </c>
      <c r="G44" s="14" t="inlineStr">
        <is>
          <t>2</t>
        </is>
      </c>
      <c r="H44" s="18" t="inlineStr"/>
    </row>
    <row r="45">
      <c r="A45" s="14" t="inlineStr"/>
      <c r="B45" s="14" t="inlineStr">
        <is>
          <t>Wind vane, analog</t>
        </is>
      </c>
      <c r="C45" s="14" t="inlineStr">
        <is>
          <t>Wind direction</t>
        </is>
      </c>
      <c r="D45" s="15" t="n">
        <v>1</v>
      </c>
      <c r="E45" s="16" t="n">
        <v>1800</v>
      </c>
      <c r="F45" s="17">
        <f>D45*E45</f>
        <v/>
      </c>
      <c r="G45" s="14" t="inlineStr">
        <is>
          <t>2</t>
        </is>
      </c>
      <c r="H45" s="18" t="inlineStr">
        <is>
          <t>Optional but helps drift calls</t>
        </is>
      </c>
    </row>
    <row r="46">
      <c r="A46" s="14" t="inlineStr"/>
      <c r="B46" s="14" t="inlineStr">
        <is>
          <t>Tipping-bucket rain gauge</t>
        </is>
      </c>
      <c r="C46" s="14" t="inlineStr">
        <is>
          <t>Auto rain-skip input</t>
        </is>
      </c>
      <c r="D46" s="15" t="n">
        <v>1</v>
      </c>
      <c r="E46" s="16" t="n">
        <v>1500</v>
      </c>
      <c r="F46" s="17">
        <f>D46*E46</f>
        <v/>
      </c>
      <c r="G46" s="14" t="inlineStr">
        <is>
          <t>2</t>
        </is>
      </c>
      <c r="H46" s="18" t="inlineStr"/>
    </row>
    <row r="47">
      <c r="A47" s="14" t="inlineStr"/>
      <c r="B47" s="14" t="inlineStr">
        <is>
          <t>SHT31 temp/RH sensor</t>
        </is>
      </c>
      <c r="C47" s="14" t="inlineStr"/>
      <c r="D47" s="15" t="n">
        <v>1</v>
      </c>
      <c r="E47" s="16" t="n">
        <v>400</v>
      </c>
      <c r="F47" s="17">
        <f>D47*E47</f>
        <v/>
      </c>
      <c r="G47" s="14" t="inlineStr">
        <is>
          <t>2</t>
        </is>
      </c>
      <c r="H47" s="18" t="inlineStr"/>
    </row>
    <row r="48">
      <c r="A48" s="14" t="inlineStr"/>
      <c r="B48" s="14" t="inlineStr">
        <is>
          <t>BMP280 barometric pressure</t>
        </is>
      </c>
      <c r="C48" s="14" t="inlineStr"/>
      <c r="D48" s="15" t="n">
        <v>1</v>
      </c>
      <c r="E48" s="16" t="n">
        <v>150</v>
      </c>
      <c r="F48" s="17">
        <f>D48*E48</f>
        <v/>
      </c>
      <c r="G48" s="14" t="inlineStr">
        <is>
          <t>2</t>
        </is>
      </c>
      <c r="H48" s="18" t="inlineStr"/>
    </row>
    <row r="49">
      <c r="A49" s="14" t="inlineStr"/>
      <c r="B49" s="14" t="inlineStr">
        <is>
          <t>Leaf-wetness sensor</t>
        </is>
      </c>
      <c r="C49" s="14" t="inlineStr">
        <is>
          <t>DIY interdigitated PCB</t>
        </is>
      </c>
      <c r="D49" s="15" t="n">
        <v>1</v>
      </c>
      <c r="E49" s="16" t="n">
        <v>200</v>
      </c>
      <c r="F49" s="17">
        <f>D49*E49</f>
        <v/>
      </c>
      <c r="G49" s="14" t="inlineStr">
        <is>
          <t>2</t>
        </is>
      </c>
      <c r="H49" s="18" t="inlineStr">
        <is>
          <t>Disease-risk input</t>
        </is>
      </c>
    </row>
    <row r="50">
      <c r="A50" s="14" t="inlineStr"/>
      <c r="B50" s="14" t="inlineStr">
        <is>
          <t>ESP32 + Ra-02 LoRa node</t>
        </is>
      </c>
      <c r="C50" s="14" t="inlineStr"/>
      <c r="D50" s="15" t="n">
        <v>1</v>
      </c>
      <c r="E50" s="16" t="n">
        <v>750</v>
      </c>
      <c r="F50" s="17">
        <f>D50*E50</f>
        <v/>
      </c>
      <c r="G50" s="14" t="inlineStr">
        <is>
          <t>2</t>
        </is>
      </c>
      <c r="H50" s="18" t="inlineStr"/>
    </row>
    <row r="51">
      <c r="A51" s="14" t="inlineStr"/>
      <c r="B51" s="14" t="inlineStr">
        <is>
          <t>Radiation shield + 3 m mast</t>
        </is>
      </c>
      <c r="C51" s="14" t="inlineStr">
        <is>
          <t>DIY plate-stack shield</t>
        </is>
      </c>
      <c r="D51" s="15" t="n">
        <v>1</v>
      </c>
      <c r="E51" s="16" t="n">
        <v>1500</v>
      </c>
      <c r="F51" s="17">
        <f>D51*E51</f>
        <v/>
      </c>
      <c r="G51" s="14" t="inlineStr">
        <is>
          <t>2</t>
        </is>
      </c>
      <c r="H51" s="18" t="inlineStr"/>
    </row>
    <row r="52">
      <c r="A52" s="14" t="inlineStr"/>
      <c r="B52" s="14" t="inlineStr">
        <is>
          <t>Node solar + battery pack</t>
        </is>
      </c>
      <c r="C52" s="14" t="inlineStr"/>
      <c r="D52" s="15" t="n">
        <v>1</v>
      </c>
      <c r="E52" s="16" t="n">
        <v>600</v>
      </c>
      <c r="F52" s="17">
        <f>D52*E52</f>
        <v/>
      </c>
      <c r="G52" s="14" t="inlineStr">
        <is>
          <t>2</t>
        </is>
      </c>
      <c r="H52" s="18" t="inlineStr"/>
    </row>
    <row r="53">
      <c r="A53" s="19" t="n"/>
      <c r="B53" s="20" t="inlineStr">
        <is>
          <t>Subtotal — E. Weather station</t>
        </is>
      </c>
      <c r="C53" s="19" t="n"/>
      <c r="D53" s="19" t="n"/>
      <c r="E53" s="19" t="n"/>
      <c r="F53" s="21">
        <f>SUM(F44:F52)</f>
        <v/>
      </c>
      <c r="G53" s="19" t="n"/>
      <c r="H53" s="19" t="n"/>
    </row>
    <row r="55">
      <c r="A55" s="13" t="inlineStr">
        <is>
          <t>F. Fertigation &amp; venturi diffuser</t>
        </is>
      </c>
      <c r="B55" s="14" t="inlineStr">
        <is>
          <t>Venturi injector 3/4" + assembly</t>
        </is>
      </c>
      <c r="C55" s="14" t="inlineStr">
        <is>
          <t>The diffuser — suction dosing</t>
        </is>
      </c>
      <c r="D55" s="15" t="n">
        <v>1</v>
      </c>
      <c r="E55" s="16" t="n">
        <v>1800</v>
      </c>
      <c r="F55" s="17">
        <f>D55*E55</f>
        <v/>
      </c>
      <c r="G55" s="14" t="inlineStr">
        <is>
          <t>2</t>
        </is>
      </c>
      <c r="H55" s="18" t="inlineStr"/>
    </row>
    <row r="56">
      <c r="A56" s="14" t="inlineStr"/>
      <c r="B56" s="14" t="inlineStr">
        <is>
          <t>Peristaltic dosing pump 12 V</t>
        </is>
      </c>
      <c r="C56" s="14" t="inlineStr">
        <is>
          <t>Metered jeevamrutha injection</t>
        </is>
      </c>
      <c r="D56" s="15" t="n">
        <v>1</v>
      </c>
      <c r="E56" s="16" t="n">
        <v>2800</v>
      </c>
      <c r="F56" s="17">
        <f>D56*E56</f>
        <v/>
      </c>
      <c r="G56" s="14" t="inlineStr">
        <is>
          <t>2</t>
        </is>
      </c>
      <c r="H56" s="18" t="inlineStr">
        <is>
          <t>Gives true L/h control for auto-dosing</t>
        </is>
      </c>
    </row>
    <row r="57">
      <c r="A57" s="14" t="inlineStr"/>
      <c r="B57" s="14" t="inlineStr">
        <is>
          <t>Dosing solenoid 1/2" 12 V</t>
        </is>
      </c>
      <c r="C57" s="14" t="inlineStr">
        <is>
          <t>Opens diffuser suction line</t>
        </is>
      </c>
      <c r="D57" s="15" t="n">
        <v>1</v>
      </c>
      <c r="E57" s="16" t="n">
        <v>1400</v>
      </c>
      <c r="F57" s="17">
        <f>D57*E57</f>
        <v/>
      </c>
      <c r="G57" s="14" t="inlineStr">
        <is>
          <t>2</t>
        </is>
      </c>
      <c r="H57" s="18" t="inlineStr"/>
    </row>
    <row r="58">
      <c r="A58" s="14" t="inlineStr"/>
      <c r="B58" s="14" t="inlineStr">
        <is>
          <t>Disc filter 120 mesh 1"</t>
        </is>
      </c>
      <c r="C58" s="14" t="inlineStr">
        <is>
          <t>Two stages — jeevamrutha clogs drip</t>
        </is>
      </c>
      <c r="D58" s="15" t="n">
        <v>2</v>
      </c>
      <c r="E58" s="16" t="n">
        <v>1200</v>
      </c>
      <c r="F58" s="17">
        <f>D58*E58</f>
        <v/>
      </c>
      <c r="G58" s="14" t="inlineStr">
        <is>
          <t>2</t>
        </is>
      </c>
      <c r="H58" s="18" t="inlineStr">
        <is>
          <t>Filter to 120 mesh minimum</t>
        </is>
      </c>
    </row>
    <row r="59">
      <c r="A59" s="14" t="inlineStr"/>
      <c r="B59" s="14" t="inlineStr">
        <is>
          <t>Inline EC probe + board</t>
        </is>
      </c>
      <c r="C59" s="14" t="inlineStr">
        <is>
          <t>Dose feedback / EC guard</t>
        </is>
      </c>
      <c r="D59" s="15" t="n">
        <v>1</v>
      </c>
      <c r="E59" s="16" t="n">
        <v>2000</v>
      </c>
      <c r="F59" s="17">
        <f>D59*E59</f>
        <v/>
      </c>
      <c r="G59" s="14" t="inlineStr">
        <is>
          <t>2</t>
        </is>
      </c>
      <c r="H59" s="18" t="inlineStr"/>
    </row>
    <row r="60">
      <c r="A60" s="14" t="inlineStr"/>
      <c r="B60" s="14" t="inlineStr">
        <is>
          <t>Barrel stirrer: 12 V wiper motor + paddle</t>
        </is>
      </c>
      <c r="C60" s="14" t="inlineStr">
        <is>
          <t>Daily jeevamrutha stir</t>
        </is>
      </c>
      <c r="D60" s="15" t="n">
        <v>1</v>
      </c>
      <c r="E60" s="16" t="n">
        <v>1500</v>
      </c>
      <c r="F60" s="17">
        <f>D60*E60</f>
        <v/>
      </c>
      <c r="G60" s="14" t="inlineStr">
        <is>
          <t>2</t>
        </is>
      </c>
      <c r="H60" s="18" t="inlineStr">
        <is>
          <t>Automates task tT2</t>
        </is>
      </c>
    </row>
    <row r="61">
      <c r="A61" s="14" t="inlineStr"/>
      <c r="B61" s="14" t="inlineStr">
        <is>
          <t>Float switch (barrel level)</t>
        </is>
      </c>
      <c r="C61" s="14" t="inlineStr"/>
      <c r="D61" s="15" t="n">
        <v>2</v>
      </c>
      <c r="E61" s="16" t="n">
        <v>250</v>
      </c>
      <c r="F61" s="17">
        <f>D61*E61</f>
        <v/>
      </c>
      <c r="G61" s="14" t="inlineStr">
        <is>
          <t>2</t>
        </is>
      </c>
      <c r="H61" s="18" t="inlineStr"/>
    </row>
    <row r="62">
      <c r="A62" s="14" t="inlineStr"/>
      <c r="B62" s="14" t="inlineStr">
        <is>
          <t>Dosing node (ESP32 + 4-ch relay + box)</t>
        </is>
      </c>
      <c r="C62" s="14" t="inlineStr">
        <is>
          <t>Runs the auto-dosing logic</t>
        </is>
      </c>
      <c r="D62" s="15" t="n">
        <v>1</v>
      </c>
      <c r="E62" s="16" t="n">
        <v>1600</v>
      </c>
      <c r="F62" s="17">
        <f>D62*E62</f>
        <v/>
      </c>
      <c r="G62" s="14" t="inlineStr">
        <is>
          <t>2</t>
        </is>
      </c>
      <c r="H62" s="18" t="inlineStr"/>
    </row>
    <row r="63">
      <c r="A63" s="19" t="n"/>
      <c r="B63" s="20" t="inlineStr">
        <is>
          <t>Subtotal — F. Fertigation &amp; venturi diffuser</t>
        </is>
      </c>
      <c r="C63" s="19" t="n"/>
      <c r="D63" s="19" t="n"/>
      <c r="E63" s="19" t="n"/>
      <c r="F63" s="21">
        <f>SUM(F55:F62)</f>
        <v/>
      </c>
      <c r="G63" s="19" t="n"/>
      <c r="H63" s="19" t="n"/>
    </row>
    <row r="65">
      <c r="A65" s="13" t="inlineStr">
        <is>
          <t>G. Livestock shed</t>
        </is>
      </c>
      <c r="B65" s="14" t="inlineStr">
        <is>
          <t>Shed node: ESP32 + SHT31 + 2-ch relay</t>
        </is>
      </c>
      <c r="C65" s="14" t="inlineStr">
        <is>
          <t>Temp/RH + fan/fogger auto</t>
        </is>
      </c>
      <c r="D65" s="15" t="n">
        <v>1</v>
      </c>
      <c r="E65" s="16" t="n">
        <v>1600</v>
      </c>
      <c r="F65" s="17">
        <f>D65*E65</f>
        <v/>
      </c>
      <c r="G65" s="14" t="inlineStr">
        <is>
          <t>2</t>
        </is>
      </c>
      <c r="H65" s="18" t="inlineStr"/>
    </row>
    <row r="66">
      <c r="A66" s="14" t="inlineStr"/>
      <c r="B66" s="14" t="inlineStr">
        <is>
          <t>Contactor 25 A (fan, fogger)</t>
        </is>
      </c>
      <c r="C66" s="14" t="inlineStr"/>
      <c r="D66" s="15" t="n">
        <v>2</v>
      </c>
      <c r="E66" s="16" t="n">
        <v>450</v>
      </c>
      <c r="F66" s="17">
        <f>D66*E66</f>
        <v/>
      </c>
      <c r="G66" s="14" t="inlineStr">
        <is>
          <t>2</t>
        </is>
      </c>
      <c r="H66" s="18" t="inlineStr"/>
    </row>
    <row r="67">
      <c r="A67" s="14" t="inlineStr"/>
      <c r="B67" s="14" t="inlineStr">
        <is>
          <t>Fogger kit: 10 nozzles + 60 psi pump</t>
        </is>
      </c>
      <c r="C67" s="14" t="inlineStr">
        <is>
          <t>Heat-stress control &gt;=30 C</t>
        </is>
      </c>
      <c r="D67" s="15" t="n">
        <v>1</v>
      </c>
      <c r="E67" s="16" t="n">
        <v>3500</v>
      </c>
      <c r="F67" s="17">
        <f>D67*E67</f>
        <v/>
      </c>
      <c r="G67" s="14" t="inlineStr">
        <is>
          <t>2</t>
        </is>
      </c>
      <c r="H67" s="18" t="inlineStr"/>
    </row>
    <row r="68">
      <c r="A68" s="14" t="inlineStr"/>
      <c r="B68" s="14" t="inlineStr">
        <is>
          <t>Platform scale: 4x 50 kg load cells + HX711 + frame</t>
        </is>
      </c>
      <c r="C68" s="14" t="inlineStr">
        <is>
          <t>Goat-kid weigh-bands -&gt; records</t>
        </is>
      </c>
      <c r="D68" s="15" t="n">
        <v>1</v>
      </c>
      <c r="E68" s="16" t="n">
        <v>4500</v>
      </c>
      <c r="F68" s="17">
        <f>D68*E68</f>
        <v/>
      </c>
      <c r="G68" s="14" t="inlineStr">
        <is>
          <t>2</t>
        </is>
      </c>
      <c r="H68" s="18" t="inlineStr">
        <is>
          <t>Growth data = breeding premium</t>
        </is>
      </c>
    </row>
    <row r="69">
      <c r="A69" s="14" t="inlineStr"/>
      <c r="B69" s="14" t="inlineStr">
        <is>
          <t>RFID EID stick reader + 40 ear tags</t>
        </is>
      </c>
      <c r="C69" s="14" t="inlineStr">
        <is>
          <t>Animal identity for records</t>
        </is>
      </c>
      <c r="D69" s="15" t="n">
        <v>1</v>
      </c>
      <c r="E69" s="16" t="n">
        <v>5400</v>
      </c>
      <c r="F69" s="17">
        <f>D69*E69</f>
        <v/>
      </c>
      <c r="G69" s="14" t="inlineStr">
        <is>
          <t>2</t>
        </is>
      </c>
      <c r="H69" s="18" t="inlineStr">
        <is>
          <t>ISO 11784/85 FDX-B</t>
        </is>
      </c>
    </row>
    <row r="70">
      <c r="A70" s="14" t="inlineStr"/>
      <c r="B70" s="14" t="inlineStr">
        <is>
          <t>Coop door: linear actuator + LDR + ESP32</t>
        </is>
      </c>
      <c r="C70" s="14" t="inlineStr">
        <is>
          <t>Auto open/close for Giriraja</t>
        </is>
      </c>
      <c r="D70" s="15" t="n">
        <v>1</v>
      </c>
      <c r="E70" s="16" t="n">
        <v>2500</v>
      </c>
      <c r="F70" s="17">
        <f>D70*E70</f>
        <v/>
      </c>
      <c r="G70" s="14" t="inlineStr">
        <is>
          <t>2</t>
        </is>
      </c>
      <c r="H70" s="18" t="inlineStr">
        <is>
          <t>Biggest predator-loss saver</t>
        </is>
      </c>
    </row>
    <row r="71">
      <c r="A71" s="19" t="n"/>
      <c r="B71" s="20" t="inlineStr">
        <is>
          <t>Subtotal — G. Livestock shed</t>
        </is>
      </c>
      <c r="C71" s="19" t="n"/>
      <c r="D71" s="19" t="n"/>
      <c r="E71" s="19" t="n"/>
      <c r="F71" s="21">
        <f>SUM(F65:F70)</f>
        <v/>
      </c>
      <c r="G71" s="19" t="n"/>
      <c r="H71" s="19" t="n"/>
    </row>
    <row r="73">
      <c r="A73" s="13" t="inlineStr">
        <is>
          <t>H. Cameras &amp; security</t>
        </is>
      </c>
      <c r="B73" s="14" t="inlineStr">
        <is>
          <t>Outdoor 3 MP ONVIF/RTSP camera</t>
        </is>
      </c>
      <c r="C73" s="14" t="inlineStr">
        <is>
          <t>Gate, pump house, shed, store</t>
        </is>
      </c>
      <c r="D73" s="15" t="n">
        <v>4</v>
      </c>
      <c r="E73" s="16" t="n">
        <v>3200</v>
      </c>
      <c r="F73" s="17">
        <f>D73*E73</f>
        <v/>
      </c>
      <c r="G73" s="14" t="inlineStr">
        <is>
          <t>1–2</t>
        </is>
      </c>
      <c r="H73" s="18" t="inlineStr">
        <is>
          <t>2 in Phase 1, 2 in Phase 2; local RTSP, no cloud fee</t>
        </is>
      </c>
    </row>
    <row r="74">
      <c r="A74" s="14" t="inlineStr"/>
      <c r="B74" s="14" t="inlineStr">
        <is>
          <t>1 TB surveillance HDD (USB)</t>
        </is>
      </c>
      <c r="C74" s="14" t="inlineStr">
        <is>
          <t>Frigate NVR on the Pi</t>
        </is>
      </c>
      <c r="D74" s="15" t="n">
        <v>1</v>
      </c>
      <c r="E74" s="16" t="n">
        <v>4000</v>
      </c>
      <c r="F74" s="17">
        <f>D74*E74</f>
        <v/>
      </c>
      <c r="G74" s="14" t="inlineStr">
        <is>
          <t>1–2</t>
        </is>
      </c>
      <c r="H74" s="18" t="inlineStr"/>
    </row>
    <row r="75">
      <c r="A75" s="14" t="inlineStr"/>
      <c r="B75" s="14" t="inlineStr">
        <is>
          <t>PoE switch / 12 V camera PSU</t>
        </is>
      </c>
      <c r="C75" s="14" t="inlineStr"/>
      <c r="D75" s="15" t="n">
        <v>1</v>
      </c>
      <c r="E75" s="16" t="n">
        <v>1500</v>
      </c>
      <c r="F75" s="17">
        <f>D75*E75</f>
        <v/>
      </c>
      <c r="G75" s="14" t="inlineStr">
        <is>
          <t>1–2</t>
        </is>
      </c>
      <c r="H75" s="18" t="inlineStr"/>
    </row>
    <row r="76">
      <c r="A76" s="14" t="inlineStr"/>
      <c r="B76" s="14" t="inlineStr">
        <is>
          <t>PIR + siren node (store room)</t>
        </is>
      </c>
      <c r="C76" s="14" t="inlineStr">
        <is>
          <t>ESP32 + PIR + 12 V siren</t>
        </is>
      </c>
      <c r="D76" s="15" t="n">
        <v>1</v>
      </c>
      <c r="E76" s="16" t="n">
        <v>800</v>
      </c>
      <c r="F76" s="17">
        <f>D76*E76</f>
        <v/>
      </c>
      <c r="G76" s="14" t="inlineStr">
        <is>
          <t>1–2</t>
        </is>
      </c>
      <c r="H76" s="18" t="inlineStr"/>
    </row>
    <row r="77">
      <c r="A77" s="19" t="n"/>
      <c r="B77" s="20" t="inlineStr">
        <is>
          <t>Subtotal — H. Cameras &amp; security</t>
        </is>
      </c>
      <c r="C77" s="19" t="n"/>
      <c r="D77" s="19" t="n"/>
      <c r="E77" s="19" t="n"/>
      <c r="F77" s="21">
        <f>SUM(F73:F76)</f>
        <v/>
      </c>
      <c r="G77" s="19" t="n"/>
      <c r="H77" s="19" t="n"/>
    </row>
    <row r="79">
      <c r="A79" s="13" t="inlineStr">
        <is>
          <t>I. Pest &amp; weed monitoring</t>
        </is>
      </c>
      <c r="B79" s="14" t="inlineStr">
        <is>
          <t>Termite bait station (DIY: PVC + wood bait)</t>
        </is>
      </c>
      <c r="C79" s="14" t="inlineStr">
        <is>
          <t>Grid of 10 around orchard</t>
        </is>
      </c>
      <c r="D79" s="15" t="n">
        <v>10</v>
      </c>
      <c r="E79" s="16" t="n">
        <v>120</v>
      </c>
      <c r="F79" s="17">
        <f>D79*E79</f>
        <v/>
      </c>
      <c r="G79" s="14" t="inlineStr">
        <is>
          <t>2–3</t>
        </is>
      </c>
      <c r="H79" s="18" t="inlineStr">
        <is>
          <t>Check weekly, log hits in dashboard</t>
        </is>
      </c>
    </row>
    <row r="80">
      <c r="A80" s="14" t="inlineStr"/>
      <c r="B80" s="14" t="inlineStr">
        <is>
          <t>Pheromone trap (funnel type)</t>
        </is>
      </c>
      <c r="C80" s="14" t="inlineStr">
        <is>
          <t>FAW / fruit-fly</t>
        </is>
      </c>
      <c r="D80" s="15" t="n">
        <v>10</v>
      </c>
      <c r="E80" s="16" t="n">
        <v>180</v>
      </c>
      <c r="F80" s="17">
        <f>D80*E80</f>
        <v/>
      </c>
      <c r="G80" s="14" t="inlineStr">
        <is>
          <t>2–3</t>
        </is>
      </c>
      <c r="H80" s="18" t="inlineStr"/>
    </row>
    <row r="81">
      <c r="A81" s="14" t="inlineStr"/>
      <c r="B81" s="14" t="inlineStr">
        <is>
          <t>Lure refills (per season)</t>
        </is>
      </c>
      <c r="C81" s="14" t="inlineStr"/>
      <c r="D81" s="15" t="n">
        <v>20</v>
      </c>
      <c r="E81" s="16" t="n">
        <v>60</v>
      </c>
      <c r="F81" s="17">
        <f>D81*E81</f>
        <v/>
      </c>
      <c r="G81" s="14" t="inlineStr">
        <is>
          <t>2–3</t>
        </is>
      </c>
      <c r="H81" s="18" t="inlineStr">
        <is>
          <t>Replace every 3–4 weeks</t>
        </is>
      </c>
    </row>
    <row r="82">
      <c r="A82" s="14" t="inlineStr"/>
      <c r="B82" s="14" t="inlineStr">
        <is>
          <t>Yellow/blue sticky traps</t>
        </is>
      </c>
      <c r="C82" s="14" t="inlineStr">
        <is>
          <t>10 per acre on crop block</t>
        </is>
      </c>
      <c r="D82" s="15" t="n">
        <v>50</v>
      </c>
      <c r="E82" s="16" t="n">
        <v>15</v>
      </c>
      <c r="F82" s="17">
        <f>D82*E82</f>
        <v/>
      </c>
      <c r="G82" s="14" t="inlineStr">
        <is>
          <t>2–3</t>
        </is>
      </c>
      <c r="H82" s="18" t="inlineStr"/>
    </row>
    <row r="83">
      <c r="A83" s="14" t="inlineStr"/>
      <c r="B83" s="14" t="inlineStr">
        <is>
          <t>ESP32-CAM trap camera</t>
        </is>
      </c>
      <c r="C83" s="14" t="inlineStr">
        <is>
          <t>Daily photo of trap for counting</t>
        </is>
      </c>
      <c r="D83" s="15" t="n">
        <v>2</v>
      </c>
      <c r="E83" s="16" t="n">
        <v>700</v>
      </c>
      <c r="F83" s="17">
        <f>D83*E83</f>
        <v/>
      </c>
      <c r="G83" s="14" t="inlineStr">
        <is>
          <t>2–3</t>
        </is>
      </c>
      <c r="H83" s="18" t="inlineStr"/>
    </row>
    <row r="84">
      <c r="A84" s="14" t="inlineStr"/>
      <c r="B84" s="14" t="inlineStr">
        <is>
          <t>Pi NoIR camera + red filter</t>
        </is>
      </c>
      <c r="C84" s="14" t="inlineStr">
        <is>
          <t>DIY NDVI from a pole/kite</t>
        </is>
      </c>
      <c r="D84" s="15" t="n">
        <v>1</v>
      </c>
      <c r="E84" s="16" t="n">
        <v>2500</v>
      </c>
      <c r="F84" s="17">
        <f>D84*E84</f>
        <v/>
      </c>
      <c r="G84" s="14" t="inlineStr">
        <is>
          <t>2–3</t>
        </is>
      </c>
      <c r="H84" s="18" t="inlineStr">
        <is>
          <t>Or hire drone NDVI (Rs.400–600/acre)</t>
        </is>
      </c>
    </row>
    <row r="85">
      <c r="A85" s="19" t="n"/>
      <c r="B85" s="20" t="inlineStr">
        <is>
          <t>Subtotal — I. Pest &amp; weed monitoring</t>
        </is>
      </c>
      <c r="C85" s="19" t="n"/>
      <c r="D85" s="19" t="n"/>
      <c r="E85" s="19" t="n"/>
      <c r="F85" s="21">
        <f>SUM(F79:F84)</f>
        <v/>
      </c>
      <c r="G85" s="19" t="n"/>
      <c r="H85" s="19" t="n"/>
    </row>
    <row r="87">
      <c r="A87" s="13" t="inlineStr">
        <is>
          <t>J. Wiring, protection &amp; mounting</t>
        </is>
      </c>
      <c r="B87" s="14" t="inlineStr">
        <is>
          <t>1.5 mm2 2-core outdoor cable, 200 m</t>
        </is>
      </c>
      <c r="C87" s="14" t="inlineStr">
        <is>
          <t>Valve and power runs</t>
        </is>
      </c>
      <c r="D87" s="15" t="n">
        <v>1</v>
      </c>
      <c r="E87" s="16" t="n">
        <v>3000</v>
      </c>
      <c r="F87" s="17">
        <f>D87*E87</f>
        <v/>
      </c>
      <c r="G87" s="14" t="inlineStr">
        <is>
          <t>all</t>
        </is>
      </c>
      <c r="H87" s="18" t="inlineStr"/>
    </row>
    <row r="88">
      <c r="A88" s="14" t="inlineStr"/>
      <c r="B88" s="14" t="inlineStr">
        <is>
          <t>HDPE conduit 16 mm, 100 m</t>
        </is>
      </c>
      <c r="C88" s="14" t="inlineStr">
        <is>
          <t>Rodent protection for cable</t>
        </is>
      </c>
      <c r="D88" s="15" t="n">
        <v>1</v>
      </c>
      <c r="E88" s="16" t="n">
        <v>1500</v>
      </c>
      <c r="F88" s="17">
        <f>D88*E88</f>
        <v/>
      </c>
      <c r="G88" s="14" t="inlineStr">
        <is>
          <t>all</t>
        </is>
      </c>
      <c r="H88" s="18" t="inlineStr"/>
    </row>
    <row r="89">
      <c r="A89" s="14" t="inlineStr"/>
      <c r="B89" s="14" t="inlineStr">
        <is>
          <t>Surge protection: MOVs, TVS, earth rod + wire</t>
        </is>
      </c>
      <c r="C89" s="14" t="inlineStr">
        <is>
          <t>Lightning is the #1 killer</t>
        </is>
      </c>
      <c r="D89" s="15" t="n">
        <v>1</v>
      </c>
      <c r="E89" s="16" t="n">
        <v>2500</v>
      </c>
      <c r="F89" s="17">
        <f>D89*E89</f>
        <v/>
      </c>
      <c r="G89" s="14" t="inlineStr">
        <is>
          <t>all</t>
        </is>
      </c>
      <c r="H89" s="18" t="inlineStr">
        <is>
          <t>Earth every mast and the gateway</t>
        </is>
      </c>
    </row>
    <row r="90">
      <c r="A90" s="14" t="inlineStr"/>
      <c r="B90" s="14" t="inlineStr">
        <is>
          <t>Spare IP65 boxes, glands, terminals, fuses</t>
        </is>
      </c>
      <c r="C90" s="14" t="inlineStr"/>
      <c r="D90" s="15" t="n">
        <v>1</v>
      </c>
      <c r="E90" s="16" t="n">
        <v>2500</v>
      </c>
      <c r="F90" s="17">
        <f>D90*E90</f>
        <v/>
      </c>
      <c r="G90" s="14" t="inlineStr">
        <is>
          <t>all</t>
        </is>
      </c>
      <c r="H90" s="18" t="inlineStr"/>
    </row>
    <row r="91">
      <c r="A91" s="14" t="inlineStr"/>
      <c r="B91" s="14" t="inlineStr">
        <is>
          <t>Silica gel, epoxy, heatshrink, UV ties</t>
        </is>
      </c>
      <c r="C91" s="14" t="inlineStr">
        <is>
          <t>Monsoon-proofing</t>
        </is>
      </c>
      <c r="D91" s="15" t="n">
        <v>1</v>
      </c>
      <c r="E91" s="16" t="n">
        <v>800</v>
      </c>
      <c r="F91" s="17">
        <f>D91*E91</f>
        <v/>
      </c>
      <c r="G91" s="14" t="inlineStr">
        <is>
          <t>all</t>
        </is>
      </c>
      <c r="H91" s="18" t="inlineStr"/>
    </row>
    <row r="92">
      <c r="A92" s="14" t="inlineStr"/>
      <c r="B92" s="14" t="inlineStr">
        <is>
          <t>GI poles &amp; brackets</t>
        </is>
      </c>
      <c r="C92" s="14" t="inlineStr">
        <is>
          <t>Sensor and antenna mounts</t>
        </is>
      </c>
      <c r="D92" s="15" t="n">
        <v>6</v>
      </c>
      <c r="E92" s="16" t="n">
        <v>250</v>
      </c>
      <c r="F92" s="17">
        <f>D92*E92</f>
        <v/>
      </c>
      <c r="G92" s="14" t="inlineStr">
        <is>
          <t>all</t>
        </is>
      </c>
      <c r="H92" s="18" t="inlineStr"/>
    </row>
    <row r="93">
      <c r="A93" s="19" t="n"/>
      <c r="B93" s="20" t="inlineStr">
        <is>
          <t>Subtotal — J. Wiring, protection &amp; mounting</t>
        </is>
      </c>
      <c r="C93" s="19" t="n"/>
      <c r="D93" s="19" t="n"/>
      <c r="E93" s="19" t="n"/>
      <c r="F93" s="21">
        <f>SUM(F87:F92)</f>
        <v/>
      </c>
      <c r="G93" s="19" t="n"/>
      <c r="H93" s="19" t="n"/>
    </row>
    <row r="95">
      <c r="A95" s="6" t="inlineStr">
        <is>
          <t>BUY, DON'T BUILD (not in totals above)</t>
        </is>
      </c>
    </row>
    <row r="96">
      <c r="B96" s="4" t="inlineStr">
        <is>
          <t>Cattle activity collars</t>
        </is>
      </c>
      <c r="C96" s="4" t="inlineStr">
        <is>
          <t>Cowfit / Stellapps mooOn</t>
        </is>
      </c>
      <c r="E96" s="4" t="inlineStr">
        <is>
          <t>Rs.6,000–9,000 per animal x 12</t>
        </is>
      </c>
      <c r="H96" s="22" t="inlineStr">
        <is>
          <t>Heat-detection algorithms need vendor data; DIY misses heats — one missed cycle costs more than the collar</t>
        </is>
      </c>
    </row>
    <row r="97">
      <c r="B97" s="4" t="inlineStr">
        <is>
          <t>Drip system + main filtration</t>
        </is>
      </c>
      <c r="C97" s="4" t="inlineStr">
        <is>
          <t>Netafim / Jain / Finolex dealer</t>
        </is>
      </c>
      <c r="E97" s="4" t="inlineStr">
        <is>
          <t>~Rs.2.7 lakh for 6 acres before subsidy</t>
        </is>
      </c>
      <c r="H97" s="22" t="inlineStr">
        <is>
          <t>PMKSY-PDMC 45–55% subsidy requires an empanelled vendor install</t>
        </is>
      </c>
    </row>
    <row r="98">
      <c r="B98" s="4" t="inlineStr">
        <is>
          <t>Drone spraying &amp; NDVI survey</t>
        </is>
      </c>
      <c r="C98" s="4" t="inlineStr">
        <is>
          <t>Local operator / IFFCO Kisan</t>
        </is>
      </c>
      <c r="E98" s="4" t="inlineStr">
        <is>
          <t>Rs.400–600 per acre per pass</t>
        </is>
      </c>
      <c r="H98" s="22" t="inlineStr">
        <is>
          <t>Hire as a service — owning costs Rs.3–5 lakh</t>
        </is>
      </c>
    </row>
    <row r="99">
      <c r="B99" s="4" t="inlineStr">
        <is>
          <t>Milk analyzer</t>
        </is>
      </c>
      <c r="C99" s="4" t="inlineStr">
        <is>
          <t>Everest / Stellapps</t>
        </is>
      </c>
      <c r="E99" s="4" t="inlineStr">
        <is>
          <t>Rs.35,000–45,000</t>
        </is>
      </c>
      <c r="H99" s="22" t="inlineStr">
        <is>
          <t>Calibrated fat/SNF needed for A2 pricing credibility</t>
        </is>
      </c>
    </row>
    <row r="100">
      <c r="B100" s="4" t="inlineStr">
        <is>
          <t>Sexed semen + AI service</t>
        </is>
      </c>
      <c r="C100" s="4" t="inlineStr">
        <is>
          <t>KLDB / govt semen stations</t>
        </is>
      </c>
      <c r="E100" s="4" t="inlineStr">
        <is>
          <t>Rs.250–1,000 per dose</t>
        </is>
      </c>
      <c r="H100" s="22" t="inlineStr">
        <is>
          <t>Service, not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2026-07-29T05:29:44Z</dcterms:created>
  <dcterms:modified xsi:type="dcterms:W3CDTF">2026-07-29T05:29:44Z</dcterms:modified>
</cp:coreProperties>
</file>