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0F3F6"/>
      </patternFill>
    </fill>
  </fills>
  <borders count="2">
    <border>
      <left/>
      <right/>
      <top/>
      <bottom/>
      <diagonal/>
    </border>
    <border>
      <bottom style="thin">
        <color rgb="00C0C7C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top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/>
    </xf>
    <xf numFmtId="0" fontId="1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right" vertical="top"/>
    </xf>
    <xf numFmtId="3" fontId="1" fillId="3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" t="inlineStr">
        <is>
          <t>FOD Guard — Bill of Materials (one machine cell)</t>
        </is>
      </c>
    </row>
    <row r="2">
      <c r="A2" s="2" t="inlineStr">
        <is>
          <t>CCTV foreign-object &amp; orientation gate: camera + kiosk computer + lighting + HTTP relay door lock</t>
        </is>
      </c>
    </row>
    <row r="4">
      <c r="A4" s="3" t="inlineStr">
        <is>
          <t>Subsystem</t>
        </is>
      </c>
      <c r="B4" s="3" t="inlineStr">
        <is>
          <t>Total (Rs.)</t>
        </is>
      </c>
    </row>
    <row r="5">
      <c r="A5" s="4" t="inlineStr">
        <is>
          <t>A. Vision — camera &amp; compute</t>
        </is>
      </c>
      <c r="B5" s="5">
        <f>BOM!F8</f>
        <v/>
      </c>
    </row>
    <row r="6">
      <c r="A6" s="4" t="inlineStr">
        <is>
          <t>B. Lighting</t>
        </is>
      </c>
      <c r="B6" s="5">
        <f>BOM!F12</f>
        <v/>
      </c>
    </row>
    <row r="7">
      <c r="A7" s="4" t="inlineStr">
        <is>
          <t>C. Door lock, relay &amp; signalling</t>
        </is>
      </c>
      <c r="B7" s="5">
        <f>BOM!F20</f>
        <v/>
      </c>
    </row>
    <row r="8">
      <c r="A8" s="4" t="inlineStr">
        <is>
          <t>D. Wiring, enclosure &amp; network</t>
        </is>
      </c>
      <c r="B8" s="5">
        <f>BOM!F27</f>
        <v/>
      </c>
    </row>
    <row r="9">
      <c r="A9" s="6" t="inlineStr">
        <is>
          <t>Subtotal — one cell</t>
        </is>
      </c>
      <c r="B9" s="7">
        <f>SUM(B5:B8)</f>
        <v/>
      </c>
    </row>
    <row r="10">
      <c r="A10" s="4" t="inlineStr">
        <is>
          <t>Contingency 10% (shipping, damage, retries)</t>
        </is>
      </c>
      <c r="B10" s="5">
        <f>B9*0.1</f>
        <v/>
      </c>
    </row>
    <row r="11">
      <c r="A11" s="6" t="inlineStr">
        <is>
          <t>GRAND TOTAL (per machine)</t>
        </is>
      </c>
      <c r="B11" s="7">
        <f>B9+B10</f>
        <v/>
      </c>
    </row>
    <row r="13" ht="26" customHeight="1">
      <c r="A13" s="8" t="inlineStr">
        <is>
          <t>HOW TO USE: edit blue cells (Qty / Unit price) on the BOM sheet — all totals recalculate.</t>
        </is>
      </c>
    </row>
    <row r="14" ht="26" customHeight="1">
      <c r="A14" s="8" t="inlineStr">
        <is>
          <t>Prices are indicative Aug 2026 retail (robu.in, amazon.in, local electrical market), GST included; get quotes before ordering.</t>
        </is>
      </c>
    </row>
    <row r="15" ht="26" customHeight="1">
      <c r="A15" s="8" t="inlineStr">
        <is>
          <t>Adding machines: subsystems A–D repeat per cell; the plant switch/router and the FOD Guard software (free, fod/index.html) are shared.</t>
        </is>
      </c>
    </row>
    <row r="16" ht="26" customHeight="1">
      <c r="A16" s="8" t="inlineStr">
        <is>
          <t>Options on the BOM sheet swap items in/out (USB webcam, capture dongle, Shelly relay, spare PC, EM lock) — adjust Qty columns accordingly.</t>
        </is>
      </c>
    </row>
    <row r="17" ht="26" customHeight="1">
      <c r="A17" s="9" t="inlineStr">
        <is>
          <t>SAFETY: process-assist only — the certified guard interlock stays; this lock is wired in addition to it, never instead of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8" customWidth="1" min="3" max="3"/>
    <col width="6" customWidth="1" min="4" max="4"/>
    <col width="11" customWidth="1" min="5" max="5"/>
    <col width="11" customWidth="1" min="6" max="6"/>
    <col width="52" customWidth="1" min="7" max="7"/>
  </cols>
  <sheetData>
    <row r="1">
      <c r="A1" s="10" t="inlineStr">
        <is>
          <t>Section</t>
        </is>
      </c>
      <c r="B1" s="11" t="inlineStr">
        <is>
          <t>Item</t>
        </is>
      </c>
      <c r="C1" s="11" t="inlineStr">
        <is>
          <t>Spec / example part</t>
        </is>
      </c>
      <c r="D1" s="10" t="inlineStr">
        <is>
          <t>Qty</t>
        </is>
      </c>
      <c r="E1" s="10" t="inlineStr">
        <is>
          <t>Unit (Rs.)</t>
        </is>
      </c>
      <c r="F1" s="10" t="inlineStr">
        <is>
          <t>Total (Rs.)</t>
        </is>
      </c>
      <c r="G1" s="11" t="inlineStr">
        <is>
          <t>Notes</t>
        </is>
      </c>
    </row>
    <row r="2">
      <c r="A2" s="12" t="inlineStr">
        <is>
          <t>A. Vision — camera &amp; compute</t>
        </is>
      </c>
      <c r="B2" s="13" t="inlineStr">
        <is>
          <t>IP bullet camera 2 MP, fixed 4 mm lens</t>
        </is>
      </c>
      <c r="C2" s="13" t="inlineStr">
        <is>
          <t>CP Plus / Hikvision value line with JPEG snapshot URL</t>
        </is>
      </c>
      <c r="D2" s="14" t="n">
        <v>1</v>
      </c>
      <c r="E2" s="15" t="n">
        <v>2800</v>
      </c>
      <c r="F2" s="16">
        <f>D2*E2</f>
        <v/>
      </c>
      <c r="G2" s="13" t="inlineStr">
        <is>
          <t>Must expose /snapshot.jpg or ONVIF snapshot; enable CORS or serve app from same host</t>
        </is>
      </c>
    </row>
    <row r="3">
      <c r="A3" s="17" t="n"/>
      <c r="B3" s="13" t="inlineStr">
        <is>
          <t>Camera mounting arm, articulated + clamp</t>
        </is>
      </c>
      <c r="C3" s="13" t="inlineStr">
        <is>
          <t>Rigid mount on machine frame over the die</t>
        </is>
      </c>
      <c r="D3" s="14" t="n">
        <v>1</v>
      </c>
      <c r="E3" s="15" t="n">
        <v>600</v>
      </c>
      <c r="F3" s="16">
        <f>D3*E3</f>
        <v/>
      </c>
      <c r="G3" s="13" t="inlineStr">
        <is>
          <t>Rigid + vibration-free mounting = fewer false alarms</t>
        </is>
      </c>
    </row>
    <row r="4">
      <c r="A4" s="17" t="n"/>
      <c r="B4" s="13" t="inlineStr">
        <is>
          <t>Raspberry Pi 4B 2 GB</t>
        </is>
      </c>
      <c r="C4" s="13" t="inlineStr">
        <is>
          <t>Runs FOD Guard in Chromium kiosk mode</t>
        </is>
      </c>
      <c r="D4" s="14" t="n">
        <v>1</v>
      </c>
      <c r="E4" s="15" t="n">
        <v>4500</v>
      </c>
      <c r="F4" s="16">
        <f>D4*E4</f>
        <v/>
      </c>
      <c r="G4" s="13" t="inlineStr">
        <is>
          <t>Any spare PC / Android tablet works instead — see Options</t>
        </is>
      </c>
    </row>
    <row r="5">
      <c r="A5" s="17" t="n"/>
      <c r="B5" s="13" t="inlineStr">
        <is>
          <t>microSD 32 GB A1 + reader</t>
        </is>
      </c>
      <c r="C5" s="13" t="inlineStr">
        <is>
          <t>Boot + app storage</t>
        </is>
      </c>
      <c r="D5" s="14" t="n">
        <v>1</v>
      </c>
      <c r="E5" s="15" t="n">
        <v>450</v>
      </c>
      <c r="F5" s="16">
        <f>D5*E5</f>
        <v/>
      </c>
      <c r="G5" s="13" t="inlineStr"/>
    </row>
    <row r="6">
      <c r="A6" s="17" t="n"/>
      <c r="B6" s="13" t="inlineStr">
        <is>
          <t>Official USB-C PSU 5 V 3 A</t>
        </is>
      </c>
      <c r="C6" s="13" t="inlineStr">
        <is>
          <t>Pi supply</t>
        </is>
      </c>
      <c r="D6" s="14" t="n">
        <v>1</v>
      </c>
      <c r="E6" s="15" t="n">
        <v>700</v>
      </c>
      <c r="F6" s="16">
        <f>D6*E6</f>
        <v/>
      </c>
      <c r="G6" s="13" t="inlineStr"/>
    </row>
    <row r="7">
      <c r="A7" s="17" t="n"/>
      <c r="B7" s="13" t="inlineStr">
        <is>
          <t>7-inch HDMI touchscreen</t>
        </is>
      </c>
      <c r="C7" s="13" t="inlineStr">
        <is>
          <t>Operator display: live view + RUN CYCLE CHECK</t>
        </is>
      </c>
      <c r="D7" s="14" t="n">
        <v>1</v>
      </c>
      <c r="E7" s="15" t="n">
        <v>3800</v>
      </c>
      <c r="F7" s="16">
        <f>D7*E7</f>
        <v/>
      </c>
      <c r="G7" s="13" t="inlineStr">
        <is>
          <t>Skip if a monitor/PC already sits at the cell</t>
        </is>
      </c>
    </row>
    <row r="8">
      <c r="A8" s="18" t="n"/>
      <c r="B8" s="19" t="inlineStr">
        <is>
          <t>Subtotal — A. Vision — camera &amp; compute</t>
        </is>
      </c>
      <c r="C8" s="20" t="n"/>
      <c r="D8" s="21" t="n"/>
      <c r="E8" s="21" t="n"/>
      <c r="F8" s="22">
        <f>SUM(F2:F7)</f>
        <v/>
      </c>
      <c r="G8" s="20" t="n"/>
    </row>
    <row r="9">
      <c r="A9" s="23" t="n"/>
      <c r="B9" s="24" t="n"/>
      <c r="C9" s="24" t="n"/>
      <c r="D9" s="25" t="n"/>
      <c r="E9" s="25" t="n"/>
      <c r="F9" s="25" t="n"/>
      <c r="G9" s="24" t="n"/>
    </row>
    <row r="10">
      <c r="A10" s="12" t="inlineStr">
        <is>
          <t>B. Lighting</t>
        </is>
      </c>
      <c r="B10" s="13" t="inlineStr">
        <is>
          <t>LED floodlight 20 W, 4000 K neutral white</t>
        </is>
      </c>
      <c r="C10" s="13" t="inlineStr">
        <is>
          <t>Constant die illumination, machine-mounted</t>
        </is>
      </c>
      <c r="D10" s="14" t="n">
        <v>1</v>
      </c>
      <c r="E10" s="15" t="n">
        <v>700</v>
      </c>
      <c r="F10" s="16">
        <f>D10*E10</f>
        <v/>
      </c>
      <c r="G10" s="13" t="inlineStr">
        <is>
          <t>Biggest single reliability lever — consistent light beats any threshold tuning</t>
        </is>
      </c>
    </row>
    <row r="11">
      <c r="A11" s="17" t="n"/>
      <c r="B11" s="13" t="inlineStr">
        <is>
          <t>Floodlight bracket + glare hood</t>
        </is>
      </c>
      <c r="C11" s="13" t="inlineStr">
        <is>
          <t>Aim across the die; shade direct glare from the lens</t>
        </is>
      </c>
      <c r="D11" s="14" t="n">
        <v>1</v>
      </c>
      <c r="E11" s="15" t="n">
        <v>300</v>
      </c>
      <c r="F11" s="16">
        <f>D11*E11</f>
        <v/>
      </c>
      <c r="G11" s="13" t="inlineStr"/>
    </row>
    <row r="12">
      <c r="A12" s="18" t="n"/>
      <c r="B12" s="19" t="inlineStr">
        <is>
          <t>Subtotal — B. Lighting</t>
        </is>
      </c>
      <c r="C12" s="20" t="n"/>
      <c r="D12" s="21" t="n"/>
      <c r="E12" s="21" t="n"/>
      <c r="F12" s="22">
        <f>SUM(F10:F11)</f>
        <v/>
      </c>
      <c r="G12" s="20" t="n"/>
    </row>
    <row r="13">
      <c r="A13" s="23" t="n"/>
      <c r="B13" s="24" t="n"/>
      <c r="C13" s="24" t="n"/>
      <c r="D13" s="25" t="n"/>
      <c r="E13" s="25" t="n"/>
      <c r="F13" s="25" t="n"/>
      <c r="G13" s="24" t="n"/>
    </row>
    <row r="14">
      <c r="A14" s="12" t="inlineStr">
        <is>
          <t>C. Door lock, relay &amp; signalling</t>
        </is>
      </c>
      <c r="B14" s="13" t="inlineStr">
        <is>
          <t>ESP32 DevKit V1</t>
        </is>
      </c>
      <c r="C14" s="13" t="inlineStr">
        <is>
          <t>Serves /lock and /unlock HTTP endpoints, drives GPIO</t>
        </is>
      </c>
      <c r="D14" s="14" t="n">
        <v>1</v>
      </c>
      <c r="E14" s="15" t="n">
        <v>450</v>
      </c>
      <c r="F14" s="16">
        <f>D14*E14</f>
        <v/>
      </c>
      <c r="G14" s="13" t="inlineStr">
        <is>
          <t>Shelly 1 alternative needs no coding — see Options</t>
        </is>
      </c>
    </row>
    <row r="15">
      <c r="A15" s="17" t="n"/>
      <c r="B15" s="13" t="inlineStr">
        <is>
          <t>Relay module 2-ch 5 V, opto-isolated</t>
        </is>
      </c>
      <c r="C15" s="13" t="inlineStr">
        <is>
          <t>Ch1 door lock, Ch2 tower light</t>
        </is>
      </c>
      <c r="D15" s="14" t="n">
        <v>1</v>
      </c>
      <c r="E15" s="15" t="n">
        <v>150</v>
      </c>
      <c r="F15" s="16">
        <f>D15*E15</f>
        <v/>
      </c>
      <c r="G15" s="13" t="inlineStr"/>
    </row>
    <row r="16">
      <c r="A16" s="17" t="n"/>
      <c r="B16" s="13" t="inlineStr">
        <is>
          <t>Solenoid bolt lock 12 V DC</t>
        </is>
      </c>
      <c r="C16" s="13" t="inlineStr">
        <is>
          <t>Guard-door bolt, spring-return</t>
        </is>
      </c>
      <c r="D16" s="14" t="n">
        <v>1</v>
      </c>
      <c r="E16" s="15" t="n">
        <v>1300</v>
      </c>
      <c r="F16" s="16">
        <f>D16*E16</f>
        <v/>
      </c>
      <c r="G16" s="13" t="inlineStr">
        <is>
          <t>Electromagnetic 180 kg lock alternative — see Options</t>
        </is>
      </c>
    </row>
    <row r="17">
      <c r="A17" s="17" t="n"/>
      <c r="B17" s="13" t="inlineStr">
        <is>
          <t>SMPS 12 V 5 A</t>
        </is>
      </c>
      <c r="C17" s="13" t="inlineStr">
        <is>
          <t>Lock + floodlight + tower light supply</t>
        </is>
      </c>
      <c r="D17" s="14" t="n">
        <v>1</v>
      </c>
      <c r="E17" s="15" t="n">
        <v>550</v>
      </c>
      <c r="F17" s="16">
        <f>D17*E17</f>
        <v/>
      </c>
      <c r="G17" s="13" t="inlineStr"/>
    </row>
    <row r="18">
      <c r="A18" s="17" t="n"/>
      <c r="B18" s="13" t="inlineStr">
        <is>
          <t>DC-DC buck 12 V → 5 V 3 A</t>
        </is>
      </c>
      <c r="C18" s="13" t="inlineStr">
        <is>
          <t>ESP32 + relay supply</t>
        </is>
      </c>
      <c r="D18" s="14" t="n">
        <v>1</v>
      </c>
      <c r="E18" s="15" t="n">
        <v>200</v>
      </c>
      <c r="F18" s="16">
        <f>D18*E18</f>
        <v/>
      </c>
      <c r="G18" s="13" t="inlineStr"/>
    </row>
    <row r="19">
      <c r="A19" s="17" t="n"/>
      <c r="B19" s="13" t="inlineStr">
        <is>
          <t>Tower light 12 V, 3-colour + buzzer</t>
        </is>
      </c>
      <c r="C19" s="13" t="inlineStr">
        <is>
          <t>Mirrors verdict at the cell (red fault / green clear)</t>
        </is>
      </c>
      <c r="D19" s="14" t="n">
        <v>1</v>
      </c>
      <c r="E19" s="15" t="n">
        <v>1400</v>
      </c>
      <c r="F19" s="16">
        <f>D19*E19</f>
        <v/>
      </c>
      <c r="G19" s="13" t="inlineStr">
        <is>
          <t>Optional but strongly recommended on a noisy floor</t>
        </is>
      </c>
    </row>
    <row r="20">
      <c r="A20" s="18" t="n"/>
      <c r="B20" s="19" t="inlineStr">
        <is>
          <t>Subtotal — C. Door lock, relay &amp; signalling</t>
        </is>
      </c>
      <c r="C20" s="20" t="n"/>
      <c r="D20" s="21" t="n"/>
      <c r="E20" s="21" t="n"/>
      <c r="F20" s="22">
        <f>SUM(F14:F19)</f>
        <v/>
      </c>
      <c r="G20" s="20" t="n"/>
    </row>
    <row r="21">
      <c r="A21" s="23" t="n"/>
      <c r="B21" s="24" t="n"/>
      <c r="C21" s="24" t="n"/>
      <c r="D21" s="25" t="n"/>
      <c r="E21" s="25" t="n"/>
      <c r="F21" s="25" t="n"/>
      <c r="G21" s="24" t="n"/>
    </row>
    <row r="22">
      <c r="A22" s="12" t="inlineStr">
        <is>
          <t>D. Wiring, enclosure &amp; network</t>
        </is>
      </c>
      <c r="B22" s="13" t="inlineStr">
        <is>
          <t>Cat6 patch lead 10 m</t>
        </is>
      </c>
      <c r="C22" s="13" t="inlineStr">
        <is>
          <t>Camera and Pi to plant switch/router</t>
        </is>
      </c>
      <c r="D22" s="14" t="n">
        <v>2</v>
      </c>
      <c r="E22" s="15" t="n">
        <v>250</v>
      </c>
      <c r="F22" s="16">
        <f>D22*E22</f>
        <v/>
      </c>
      <c r="G22" s="13" t="inlineStr"/>
    </row>
    <row r="23">
      <c r="A23" s="17" t="n"/>
      <c r="B23" s="13" t="inlineStr">
        <is>
          <t>PoE injector 48 V (or 12 V camera supply)</t>
        </is>
      </c>
      <c r="C23" s="13" t="inlineStr">
        <is>
          <t>Powers the IP camera over the same lead</t>
        </is>
      </c>
      <c r="D23" s="14" t="n">
        <v>1</v>
      </c>
      <c r="E23" s="15" t="n">
        <v>400</v>
      </c>
      <c r="F23" s="16">
        <f>D23*E23</f>
        <v/>
      </c>
      <c r="G23" s="13" t="inlineStr"/>
    </row>
    <row r="24">
      <c r="A24" s="17" t="n"/>
      <c r="B24" s="13" t="inlineStr">
        <is>
          <t>ABS IP65 enclosure 200×150 + DIN rail</t>
        </is>
      </c>
      <c r="C24" s="13" t="inlineStr">
        <is>
          <t>Relay-node box beside the door</t>
        </is>
      </c>
      <c r="D24" s="14" t="n">
        <v>1</v>
      </c>
      <c r="E24" s="15" t="n">
        <v>450</v>
      </c>
      <c r="F24" s="16">
        <f>D24*E24</f>
        <v/>
      </c>
      <c r="G24" s="13" t="inlineStr"/>
    </row>
    <row r="25">
      <c r="A25" s="17" t="n"/>
      <c r="B25" s="13" t="inlineStr">
        <is>
          <t>Terminal blocks, glands, flyback diode, MOV, wire, ferrules</t>
        </is>
      </c>
      <c r="C25" s="13" t="inlineStr">
        <is>
          <t>1 lot</t>
        </is>
      </c>
      <c r="D25" s="14" t="n">
        <v>1</v>
      </c>
      <c r="E25" s="15" t="n">
        <v>600</v>
      </c>
      <c r="F25" s="16">
        <f>D25*E25</f>
        <v/>
      </c>
      <c r="G25" s="13" t="inlineStr">
        <is>
          <t>Flyback diode across the solenoid coil is mandatory</t>
        </is>
      </c>
    </row>
    <row r="26">
      <c r="A26" s="17" t="n"/>
      <c r="B26" s="13" t="inlineStr">
        <is>
          <t>Conduit, saddles, fasteners</t>
        </is>
      </c>
      <c r="C26" s="13" t="inlineStr">
        <is>
          <t>1 lot</t>
        </is>
      </c>
      <c r="D26" s="14" t="n">
        <v>1</v>
      </c>
      <c r="E26" s="15" t="n">
        <v>400</v>
      </c>
      <c r="F26" s="16">
        <f>D26*E26</f>
        <v/>
      </c>
      <c r="G26" s="13" t="inlineStr"/>
    </row>
    <row r="27">
      <c r="A27" s="18" t="n"/>
      <c r="B27" s="19" t="inlineStr">
        <is>
          <t>Subtotal — D. Wiring, enclosure &amp; network</t>
        </is>
      </c>
      <c r="C27" s="20" t="n"/>
      <c r="D27" s="21" t="n"/>
      <c r="E27" s="21" t="n"/>
      <c r="F27" s="22">
        <f>SUM(F22:F26)</f>
        <v/>
      </c>
      <c r="G27" s="20" t="n"/>
    </row>
    <row r="28">
      <c r="A28" s="23" t="n"/>
      <c r="B28" s="24" t="n"/>
      <c r="C28" s="24" t="n"/>
      <c r="D28" s="25" t="n"/>
      <c r="E28" s="25" t="n"/>
      <c r="F28" s="25" t="n"/>
      <c r="G28" s="24" t="n"/>
    </row>
    <row r="29">
      <c r="A29" s="26" t="inlineStr">
        <is>
          <t>Options / swaps (NOT included in totals)</t>
        </is>
      </c>
      <c r="B29" s="24" t="n"/>
      <c r="C29" s="24" t="n"/>
      <c r="D29" s="25" t="n"/>
      <c r="E29" s="25" t="n"/>
      <c r="F29" s="25" t="n"/>
      <c r="G29" s="24" t="n"/>
    </row>
    <row r="30">
      <c r="A30" s="17" t="n"/>
      <c r="B30" s="13" t="inlineStr">
        <is>
          <t>Logitech C270 USB webcam</t>
        </is>
      </c>
      <c r="C30" s="13" t="inlineStr">
        <is>
          <t>Replaces IP camera + PoE injector; short USB runs only</t>
        </is>
      </c>
      <c r="D30" s="27" t="n"/>
      <c r="E30" s="16" t="n">
        <v>1700</v>
      </c>
      <c r="F30" s="27" t="n"/>
      <c r="G30" s="28" t="n"/>
    </row>
    <row r="31">
      <c r="A31" s="17" t="n"/>
      <c r="B31" s="13" t="inlineStr">
        <is>
          <t>USB AV/HDMI capture dongle</t>
        </is>
      </c>
      <c r="C31" s="13" t="inlineStr">
        <is>
          <t>Reuse an existing analogue CCTV / DVR spot-monitor feed</t>
        </is>
      </c>
      <c r="D31" s="27" t="n"/>
      <c r="E31" s="16" t="n">
        <v>1200</v>
      </c>
      <c r="F31" s="27" t="n"/>
      <c r="G31" s="28" t="n"/>
    </row>
    <row r="32">
      <c r="A32" s="17" t="n"/>
      <c r="B32" s="13" t="inlineStr">
        <is>
          <t>Shelly 1 smart relay</t>
        </is>
      </c>
      <c r="C32" s="13" t="inlineStr">
        <is>
          <t>Replaces ESP32 + relay + buck; ready-made HTTP API</t>
        </is>
      </c>
      <c r="D32" s="27" t="n"/>
      <c r="E32" s="16" t="n">
        <v>1600</v>
      </c>
      <c r="F32" s="27" t="n"/>
      <c r="G32" s="28" t="n"/>
    </row>
    <row r="33">
      <c r="A33" s="17" t="n"/>
      <c r="B33" s="13" t="inlineStr">
        <is>
          <t>Spare PC / Android tablet</t>
        </is>
      </c>
      <c r="C33" s="13" t="inlineStr">
        <is>
          <t>Replaces Pi + microSD + PSU + touchscreen (saves Rs.9,450)</t>
        </is>
      </c>
      <c r="D33" s="27" t="n"/>
      <c r="E33" s="16" t="n">
        <v>0</v>
      </c>
      <c r="F33" s="27" t="n"/>
      <c r="G33" s="28" t="n"/>
    </row>
    <row r="34">
      <c r="A34" s="17" t="n"/>
      <c r="B34" s="13" t="inlineStr">
        <is>
          <t>Electromagnetic lock 180 kg</t>
        </is>
      </c>
      <c r="C34" s="13" t="inlineStr">
        <is>
          <t>Instead of solenoid bolt, for flush door faces</t>
        </is>
      </c>
      <c r="D34" s="27" t="n"/>
      <c r="E34" s="16" t="n">
        <v>1500</v>
      </c>
      <c r="F34" s="27" t="n"/>
      <c r="G34" s="28" t="n"/>
    </row>
    <row r="35">
      <c r="A35" s="23" t="n"/>
      <c r="B35" s="24" t="n"/>
      <c r="C35" s="24" t="n"/>
      <c r="D35" s="25" t="n"/>
      <c r="E35" s="25" t="n"/>
      <c r="F35" s="25" t="n"/>
      <c r="G35" s="24" t="n"/>
    </row>
    <row r="36">
      <c r="A36" s="29" t="inlineStr">
        <is>
          <t>SAFETY: FOD Guard is a process-assist check, not a certified safety device. The guard-door interlock must still run through the machine's certified safety relay / guard switch — this lock is in addition to it, never instead of it.</t>
        </is>
      </c>
      <c r="B36" s="24" t="n"/>
      <c r="C36" s="24" t="n"/>
      <c r="D36" s="30" t="n"/>
      <c r="E36" s="30" t="n"/>
      <c r="F36" s="30" t="n"/>
      <c r="G36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2026-08-31T15:16:03Z</dcterms:created>
  <dcterms:modified xsi:type="dcterms:W3CDTF">2026-08-31T15:16:04Z</dcterms:modified>
</cp:coreProperties>
</file>